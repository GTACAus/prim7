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uljadi\Documents\GitHub\prim7\documents\"/>
    </mc:Choice>
  </mc:AlternateContent>
  <xr:revisionPtr revIDLastSave="0" documentId="13_ncr:1_{83BE3EB6-1D4C-44A6-BAEE-21B4534D04C6}" xr6:coauthVersionLast="47" xr6:coauthVersionMax="47" xr10:uidLastSave="{00000000-0000-0000-0000-000000000000}"/>
  <bookViews>
    <workbookView xWindow="17640" yWindow="0" windowWidth="18690" windowHeight="20985" activeTab="4" xr2:uid="{66BDFCF1-D1AB-4E6C-8B03-3E4ED2A27C07}"/>
  </bookViews>
  <sheets>
    <sheet name="Quadrat 1" sheetId="1" r:id="rId1"/>
    <sheet name="Quadrat 2" sheetId="6" r:id="rId2"/>
    <sheet name="Quadrat 3" sheetId="7" r:id="rId3"/>
    <sheet name="Quadrat 4" sheetId="8" r:id="rId4"/>
    <sheet name="Quadrat 5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1" i="9" l="1"/>
  <c r="J31" i="9"/>
  <c r="I31" i="9"/>
  <c r="D31" i="9"/>
  <c r="K30" i="9"/>
  <c r="J30" i="9"/>
  <c r="I30" i="9"/>
  <c r="D30" i="9"/>
  <c r="K29" i="9"/>
  <c r="J29" i="9"/>
  <c r="I29" i="9"/>
  <c r="D29" i="9"/>
  <c r="K28" i="9"/>
  <c r="J28" i="9"/>
  <c r="I28" i="9"/>
  <c r="D28" i="9"/>
  <c r="K27" i="9"/>
  <c r="J27" i="9"/>
  <c r="I27" i="9"/>
  <c r="D27" i="9"/>
  <c r="K26" i="9"/>
  <c r="J26" i="9"/>
  <c r="I26" i="9"/>
  <c r="D26" i="9"/>
  <c r="K21" i="9"/>
  <c r="J21" i="9"/>
  <c r="I21" i="9"/>
  <c r="D21" i="9"/>
  <c r="K20" i="9"/>
  <c r="J20" i="9"/>
  <c r="I20" i="9"/>
  <c r="D20" i="9"/>
  <c r="K19" i="9"/>
  <c r="J19" i="9"/>
  <c r="I19" i="9"/>
  <c r="D19" i="9"/>
  <c r="K18" i="9"/>
  <c r="J18" i="9"/>
  <c r="I18" i="9"/>
  <c r="D18" i="9"/>
  <c r="K17" i="9"/>
  <c r="J17" i="9"/>
  <c r="I17" i="9"/>
  <c r="D17" i="9"/>
  <c r="K16" i="9"/>
  <c r="J16" i="9"/>
  <c r="I16" i="9"/>
  <c r="D16" i="9"/>
  <c r="K15" i="9"/>
  <c r="J15" i="9"/>
  <c r="I15" i="9"/>
  <c r="D15" i="9"/>
  <c r="K14" i="9"/>
  <c r="J14" i="9"/>
  <c r="I14" i="9"/>
  <c r="D14" i="9"/>
  <c r="K13" i="9"/>
  <c r="J13" i="9"/>
  <c r="I13" i="9"/>
  <c r="D13" i="9"/>
  <c r="K12" i="9"/>
  <c r="J12" i="9"/>
  <c r="I12" i="9"/>
  <c r="D12" i="9"/>
  <c r="K11" i="9"/>
  <c r="J11" i="9"/>
  <c r="I11" i="9"/>
  <c r="D11" i="9"/>
  <c r="K10" i="9"/>
  <c r="J10" i="9"/>
  <c r="I10" i="9"/>
  <c r="D10" i="9"/>
  <c r="K9" i="9"/>
  <c r="J9" i="9"/>
  <c r="I9" i="9"/>
  <c r="D9" i="9"/>
  <c r="I17" i="8"/>
  <c r="J17" i="8"/>
  <c r="K17" i="8"/>
  <c r="I18" i="8"/>
  <c r="J18" i="8"/>
  <c r="K18" i="8"/>
  <c r="I19" i="8"/>
  <c r="J19" i="8"/>
  <c r="K19" i="8"/>
  <c r="I20" i="8"/>
  <c r="J20" i="8"/>
  <c r="K20" i="8"/>
  <c r="I21" i="8"/>
  <c r="J21" i="8"/>
  <c r="K21" i="8"/>
  <c r="I22" i="8"/>
  <c r="J22" i="8"/>
  <c r="K22" i="8"/>
  <c r="I23" i="8"/>
  <c r="J23" i="8"/>
  <c r="K23" i="8"/>
  <c r="I24" i="8"/>
  <c r="J24" i="8"/>
  <c r="K24" i="8"/>
  <c r="I25" i="8"/>
  <c r="J25" i="8"/>
  <c r="K25" i="8"/>
  <c r="I26" i="8"/>
  <c r="J26" i="8"/>
  <c r="K26" i="8"/>
  <c r="I27" i="8"/>
  <c r="J27" i="8"/>
  <c r="K27" i="8"/>
  <c r="I28" i="8"/>
  <c r="J28" i="8"/>
  <c r="K28" i="8"/>
  <c r="I29" i="8"/>
  <c r="J29" i="8"/>
  <c r="K29" i="8"/>
  <c r="I30" i="8"/>
  <c r="J30" i="8"/>
  <c r="K30" i="8"/>
  <c r="I31" i="8"/>
  <c r="J31" i="8"/>
  <c r="K31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K48" i="8"/>
  <c r="J48" i="8"/>
  <c r="I48" i="8"/>
  <c r="D48" i="8"/>
  <c r="K43" i="8"/>
  <c r="J43" i="8"/>
  <c r="I43" i="8"/>
  <c r="D43" i="8"/>
  <c r="K42" i="8"/>
  <c r="J42" i="8"/>
  <c r="I42" i="8"/>
  <c r="D42" i="8"/>
  <c r="K41" i="8"/>
  <c r="J41" i="8"/>
  <c r="I41" i="8"/>
  <c r="D41" i="8"/>
  <c r="K40" i="8"/>
  <c r="J40" i="8"/>
  <c r="I40" i="8"/>
  <c r="D40" i="8"/>
  <c r="K39" i="8"/>
  <c r="J39" i="8"/>
  <c r="I39" i="8"/>
  <c r="D39" i="8"/>
  <c r="K38" i="8"/>
  <c r="J38" i="8"/>
  <c r="I38" i="8"/>
  <c r="D38" i="8"/>
  <c r="K37" i="8"/>
  <c r="J37" i="8"/>
  <c r="I37" i="8"/>
  <c r="D37" i="8"/>
  <c r="K36" i="8"/>
  <c r="J36" i="8"/>
  <c r="I36" i="8"/>
  <c r="D36" i="8"/>
  <c r="K16" i="8"/>
  <c r="J16" i="8"/>
  <c r="I16" i="8"/>
  <c r="D16" i="8"/>
  <c r="K15" i="8"/>
  <c r="J15" i="8"/>
  <c r="I15" i="8"/>
  <c r="D15" i="8"/>
  <c r="K14" i="8"/>
  <c r="J14" i="8"/>
  <c r="I14" i="8"/>
  <c r="D14" i="8"/>
  <c r="K13" i="8"/>
  <c r="J13" i="8"/>
  <c r="I13" i="8"/>
  <c r="D13" i="8"/>
  <c r="K12" i="8"/>
  <c r="J12" i="8"/>
  <c r="I12" i="8"/>
  <c r="D12" i="8"/>
  <c r="K11" i="8"/>
  <c r="J11" i="8"/>
  <c r="I11" i="8"/>
  <c r="D11" i="8"/>
  <c r="K10" i="8"/>
  <c r="J10" i="8"/>
  <c r="I10" i="8"/>
  <c r="D10" i="8"/>
  <c r="K9" i="8"/>
  <c r="J9" i="8"/>
  <c r="I9" i="8"/>
  <c r="D9" i="8"/>
  <c r="I13" i="7"/>
  <c r="J13" i="7"/>
  <c r="K13" i="7"/>
  <c r="I14" i="7"/>
  <c r="J14" i="7"/>
  <c r="K14" i="7"/>
  <c r="I15" i="7"/>
  <c r="J15" i="7"/>
  <c r="K15" i="7"/>
  <c r="I16" i="7"/>
  <c r="J16" i="7"/>
  <c r="K16" i="7"/>
  <c r="D13" i="7"/>
  <c r="D14" i="7"/>
  <c r="D15" i="7"/>
  <c r="D16" i="7"/>
  <c r="J32" i="7"/>
  <c r="I32" i="7"/>
  <c r="K32" i="7"/>
  <c r="G32" i="7"/>
  <c r="J31" i="7"/>
  <c r="I31" i="7"/>
  <c r="D31" i="7"/>
  <c r="K31" i="7"/>
  <c r="J30" i="7"/>
  <c r="I30" i="7"/>
  <c r="D30" i="7"/>
  <c r="K30" i="7"/>
  <c r="J29" i="7"/>
  <c r="I29" i="7"/>
  <c r="D29" i="7"/>
  <c r="K29" i="7"/>
  <c r="J28" i="7"/>
  <c r="I28" i="7"/>
  <c r="D28" i="7"/>
  <c r="K28" i="7"/>
  <c r="G28" i="7"/>
  <c r="K38" i="7"/>
  <c r="J38" i="7"/>
  <c r="I38" i="7"/>
  <c r="D38" i="7"/>
  <c r="K37" i="7"/>
  <c r="J37" i="7"/>
  <c r="I37" i="7"/>
  <c r="D37" i="7"/>
  <c r="K27" i="7"/>
  <c r="J27" i="7"/>
  <c r="I27" i="7"/>
  <c r="D27" i="7"/>
  <c r="K26" i="7"/>
  <c r="J26" i="7"/>
  <c r="I26" i="7"/>
  <c r="D26" i="7"/>
  <c r="K25" i="7"/>
  <c r="J25" i="7"/>
  <c r="I25" i="7"/>
  <c r="D25" i="7"/>
  <c r="K24" i="7"/>
  <c r="J24" i="7"/>
  <c r="I24" i="7"/>
  <c r="D24" i="7"/>
  <c r="K23" i="7"/>
  <c r="J23" i="7"/>
  <c r="I23" i="7"/>
  <c r="D23" i="7"/>
  <c r="K22" i="7"/>
  <c r="J22" i="7"/>
  <c r="I22" i="7"/>
  <c r="D22" i="7"/>
  <c r="K21" i="7"/>
  <c r="J21" i="7"/>
  <c r="I21" i="7"/>
  <c r="D21" i="7"/>
  <c r="K12" i="7"/>
  <c r="J12" i="7"/>
  <c r="I12" i="7"/>
  <c r="D12" i="7"/>
  <c r="K11" i="7"/>
  <c r="J11" i="7"/>
  <c r="I11" i="7"/>
  <c r="D11" i="7"/>
  <c r="K10" i="7"/>
  <c r="J10" i="7"/>
  <c r="I10" i="7"/>
  <c r="D10" i="7"/>
  <c r="K9" i="7"/>
  <c r="J9" i="7"/>
  <c r="I9" i="7"/>
  <c r="D9" i="7"/>
  <c r="D9" i="6"/>
  <c r="D10" i="6"/>
  <c r="I9" i="6"/>
  <c r="J9" i="6"/>
  <c r="K9" i="6"/>
  <c r="I10" i="6"/>
  <c r="J10" i="6"/>
  <c r="K10" i="6"/>
  <c r="I28" i="6"/>
  <c r="J28" i="6"/>
  <c r="K28" i="6"/>
  <c r="I29" i="6"/>
  <c r="J29" i="6"/>
  <c r="K29" i="6"/>
  <c r="I20" i="6"/>
  <c r="J20" i="6"/>
  <c r="K20" i="6"/>
  <c r="I21" i="6"/>
  <c r="J21" i="6"/>
  <c r="K21" i="6"/>
  <c r="I22" i="6"/>
  <c r="J22" i="6"/>
  <c r="K22" i="6"/>
  <c r="I23" i="6"/>
  <c r="J23" i="6"/>
  <c r="K23" i="6"/>
  <c r="I11" i="6"/>
  <c r="J11" i="6"/>
  <c r="K11" i="6"/>
  <c r="I12" i="6"/>
  <c r="J12" i="6"/>
  <c r="K12" i="6"/>
  <c r="D30" i="6"/>
  <c r="D31" i="6"/>
  <c r="D32" i="6"/>
  <c r="D18" i="6"/>
  <c r="D19" i="6"/>
  <c r="D20" i="6"/>
  <c r="D21" i="6"/>
  <c r="D22" i="6"/>
  <c r="D23" i="6"/>
  <c r="D17" i="6"/>
  <c r="D29" i="6"/>
  <c r="D11" i="6"/>
  <c r="D12" i="6"/>
  <c r="D28" i="6"/>
  <c r="K32" i="6"/>
  <c r="J32" i="6"/>
  <c r="I32" i="6"/>
  <c r="K31" i="6"/>
  <c r="J31" i="6"/>
  <c r="I31" i="6"/>
  <c r="K30" i="6"/>
  <c r="J30" i="6"/>
  <c r="I30" i="6"/>
  <c r="K19" i="6"/>
  <c r="J19" i="6"/>
  <c r="I19" i="6"/>
  <c r="K18" i="6"/>
  <c r="J18" i="6"/>
  <c r="I18" i="6"/>
  <c r="K17" i="6"/>
  <c r="J17" i="6"/>
  <c r="I17" i="6"/>
  <c r="I17" i="1"/>
  <c r="J17" i="1"/>
  <c r="K17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K10" i="1"/>
  <c r="J10" i="1"/>
  <c r="I10" i="1"/>
  <c r="K9" i="1"/>
  <c r="J9" i="1"/>
  <c r="I9" i="1"/>
  <c r="K16" i="1"/>
  <c r="J16" i="1"/>
  <c r="I16" i="1"/>
  <c r="K15" i="1"/>
  <c r="J15" i="1"/>
  <c r="I15" i="1"/>
  <c r="I23" i="1"/>
  <c r="J23" i="1"/>
  <c r="K23" i="1"/>
  <c r="K22" i="1"/>
  <c r="J22" i="1"/>
  <c r="I22" i="1"/>
</calcChain>
</file>

<file path=xl/sharedStrings.xml><?xml version="1.0" encoding="utf-8"?>
<sst xmlns="http://schemas.openxmlformats.org/spreadsheetml/2006/main" count="203" uniqueCount="20">
  <si>
    <t>Striped Conniwink</t>
  </si>
  <si>
    <t>Smooth Limpet</t>
  </si>
  <si>
    <t>Elephant Snail</t>
  </si>
  <si>
    <t>Variant</t>
  </si>
  <si>
    <t>Background</t>
  </si>
  <si>
    <t>Width (mm)</t>
  </si>
  <si>
    <t>Height (mm)</t>
  </si>
  <si>
    <t>Rotate (deg)</t>
  </si>
  <si>
    <t>X (mm)</t>
  </si>
  <si>
    <t>Y (mm)</t>
  </si>
  <si>
    <t>left (%)</t>
  </si>
  <si>
    <t>top (%)</t>
  </si>
  <si>
    <t>width (%)</t>
  </si>
  <si>
    <t>No.</t>
  </si>
  <si>
    <t>ScaleX</t>
  </si>
  <si>
    <t>Quadrat 2</t>
  </si>
  <si>
    <t>Quadrat 1</t>
  </si>
  <si>
    <t>Quadrat 3</t>
  </si>
  <si>
    <t>Quadrat 4</t>
  </si>
  <si>
    <t>Quadrat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</si>
</sst>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7ACE-BF0E-43D8-B697-A430AE7DA280}">
  <dimension ref="A1:K29"/>
  <sheetViews>
    <sheetView workbookViewId="0">
      <selection activeCell="J34" sqref="J34"/>
    </sheetView>
  </sheetViews>
  <sheetFormatPr defaultColWidth="15" defaultRowHeight="15" x14ac:dyDescent="0.25"/>
  <sheetData>
    <row r="1" spans="1:11" x14ac:dyDescent="0.25">
      <c r="A1" s="1" t="s">
        <v>16</v>
      </c>
    </row>
    <row r="2" spans="1:11" x14ac:dyDescent="0.25">
      <c r="A2" s="1" t="s">
        <v>4</v>
      </c>
    </row>
    <row r="3" spans="1:11" x14ac:dyDescent="0.25">
      <c r="A3" t="s">
        <v>5</v>
      </c>
      <c r="B3" t="s">
        <v>6</v>
      </c>
      <c r="C3" t="s">
        <v>8</v>
      </c>
      <c r="D3" t="s">
        <v>9</v>
      </c>
      <c r="E3" t="s">
        <v>7</v>
      </c>
    </row>
    <row r="4" spans="1:11" x14ac:dyDescent="0.25">
      <c r="A4">
        <v>100</v>
      </c>
      <c r="B4">
        <v>100</v>
      </c>
      <c r="C4">
        <v>0</v>
      </c>
      <c r="D4">
        <v>0</v>
      </c>
      <c r="E4">
        <v>0</v>
      </c>
    </row>
    <row r="7" spans="1:11" x14ac:dyDescent="0.25">
      <c r="A7" s="1" t="s">
        <v>0</v>
      </c>
    </row>
    <row r="8" spans="1:11" x14ac:dyDescent="0.25">
      <c r="A8" t="s">
        <v>13</v>
      </c>
      <c r="B8" t="s">
        <v>3</v>
      </c>
      <c r="C8" t="s">
        <v>5</v>
      </c>
      <c r="D8" t="s">
        <v>6</v>
      </c>
      <c r="E8" t="s">
        <v>8</v>
      </c>
      <c r="F8" t="s">
        <v>9</v>
      </c>
      <c r="G8" t="s">
        <v>7</v>
      </c>
      <c r="H8" t="s">
        <v>14</v>
      </c>
      <c r="I8" t="s">
        <v>10</v>
      </c>
      <c r="J8" t="s">
        <v>11</v>
      </c>
      <c r="K8" t="s">
        <v>12</v>
      </c>
    </row>
    <row r="9" spans="1:11" x14ac:dyDescent="0.25">
      <c r="A9">
        <v>1</v>
      </c>
      <c r="B9">
        <v>4</v>
      </c>
      <c r="C9">
        <v>5.2</v>
      </c>
      <c r="D9">
        <v>5.2</v>
      </c>
      <c r="E9">
        <v>61.55</v>
      </c>
      <c r="F9">
        <v>34.200000000000003</v>
      </c>
      <c r="G9">
        <v>0</v>
      </c>
      <c r="I9" s="3">
        <f>(E9-$C$4)/$A$4</f>
        <v>0.61549999999999994</v>
      </c>
      <c r="J9" s="3">
        <f>(F9-$D$4)/$B$4</f>
        <v>0.34200000000000003</v>
      </c>
      <c r="K9" s="3">
        <f>C9/$A$4</f>
        <v>5.2000000000000005E-2</v>
      </c>
    </row>
    <row r="10" spans="1:11" x14ac:dyDescent="0.25">
      <c r="A10">
        <v>2</v>
      </c>
      <c r="B10">
        <v>3</v>
      </c>
      <c r="C10">
        <v>5.23</v>
      </c>
      <c r="D10">
        <v>5.23</v>
      </c>
      <c r="E10">
        <v>66.13</v>
      </c>
      <c r="F10">
        <v>45.01</v>
      </c>
      <c r="G10">
        <v>0</v>
      </c>
      <c r="I10" s="3">
        <f>(E10-$C$4)/$A$4</f>
        <v>0.6613</v>
      </c>
      <c r="J10" s="3">
        <f>(F10-$D$4)/$B$4</f>
        <v>0.4501</v>
      </c>
      <c r="K10" s="3">
        <f>C10/$A$4</f>
        <v>5.2300000000000006E-2</v>
      </c>
    </row>
    <row r="11" spans="1:11" x14ac:dyDescent="0.25">
      <c r="I11" s="2"/>
      <c r="J11" s="2"/>
      <c r="K11" s="2"/>
    </row>
    <row r="13" spans="1:11" x14ac:dyDescent="0.25">
      <c r="A13" s="1" t="s">
        <v>1</v>
      </c>
    </row>
    <row r="14" spans="1:11" x14ac:dyDescent="0.25">
      <c r="A14" t="s">
        <v>13</v>
      </c>
      <c r="B14" t="s">
        <v>3</v>
      </c>
      <c r="C14" t="s">
        <v>5</v>
      </c>
      <c r="D14" t="s">
        <v>6</v>
      </c>
      <c r="E14" t="s">
        <v>8</v>
      </c>
      <c r="F14" t="s">
        <v>9</v>
      </c>
      <c r="G14" t="s">
        <v>7</v>
      </c>
      <c r="H14" t="s">
        <v>14</v>
      </c>
      <c r="I14" t="s">
        <v>10</v>
      </c>
      <c r="J14" t="s">
        <v>11</v>
      </c>
      <c r="K14" t="s">
        <v>12</v>
      </c>
    </row>
    <row r="15" spans="1:11" x14ac:dyDescent="0.25">
      <c r="A15">
        <v>1</v>
      </c>
      <c r="B15">
        <v>2</v>
      </c>
      <c r="C15">
        <v>9.23</v>
      </c>
      <c r="D15">
        <v>9.23</v>
      </c>
      <c r="E15">
        <v>56.35</v>
      </c>
      <c r="F15">
        <v>25.41</v>
      </c>
      <c r="G15">
        <v>0</v>
      </c>
      <c r="I15" s="3">
        <f>(E15-$C$4)/$A$4</f>
        <v>0.5635</v>
      </c>
      <c r="J15" s="3">
        <f>(F15-$D$4)/$B$4</f>
        <v>0.25409999999999999</v>
      </c>
      <c r="K15" s="3">
        <f>C15/$A$4</f>
        <v>9.2300000000000007E-2</v>
      </c>
    </row>
    <row r="16" spans="1:11" x14ac:dyDescent="0.25">
      <c r="A16">
        <v>2</v>
      </c>
      <c r="B16">
        <v>4</v>
      </c>
      <c r="C16">
        <v>8.7799999999999994</v>
      </c>
      <c r="D16">
        <v>8.7799999999999994</v>
      </c>
      <c r="E16">
        <v>53.73</v>
      </c>
      <c r="F16">
        <v>74.75</v>
      </c>
      <c r="G16">
        <v>0</v>
      </c>
      <c r="I16" s="3">
        <f>(E16-$C$4)/$A$4</f>
        <v>0.5373</v>
      </c>
      <c r="J16" s="3">
        <f>(F16-$D$4)/$B$4</f>
        <v>0.74750000000000005</v>
      </c>
      <c r="K16" s="3">
        <f>C16/$A$4</f>
        <v>8.7799999999999989E-2</v>
      </c>
    </row>
    <row r="17" spans="1:11" x14ac:dyDescent="0.25">
      <c r="A17">
        <v>3</v>
      </c>
      <c r="B17">
        <v>1</v>
      </c>
      <c r="C17">
        <v>8.5500000000000007</v>
      </c>
      <c r="D17">
        <v>8.5500000000000007</v>
      </c>
      <c r="E17">
        <v>60.09</v>
      </c>
      <c r="F17">
        <v>91.29</v>
      </c>
      <c r="G17">
        <v>0</v>
      </c>
      <c r="I17" s="3">
        <f>(E17-$C$4)/$A$4</f>
        <v>0.60089999999999999</v>
      </c>
      <c r="J17" s="3">
        <f>(F17-$D$4)/$B$4</f>
        <v>0.91290000000000004</v>
      </c>
      <c r="K17" s="3">
        <f>C17/$A$4</f>
        <v>8.5500000000000007E-2</v>
      </c>
    </row>
    <row r="20" spans="1:11" x14ac:dyDescent="0.25">
      <c r="A20" s="1" t="s">
        <v>2</v>
      </c>
    </row>
    <row r="21" spans="1:11" x14ac:dyDescent="0.25">
      <c r="A21" t="s">
        <v>13</v>
      </c>
      <c r="B21" t="s">
        <v>3</v>
      </c>
      <c r="C21" t="s">
        <v>5</v>
      </c>
      <c r="D21" t="s">
        <v>6</v>
      </c>
      <c r="E21" t="s">
        <v>8</v>
      </c>
      <c r="F21" t="s">
        <v>9</v>
      </c>
      <c r="G21" t="s">
        <v>7</v>
      </c>
      <c r="H21" t="s">
        <v>14</v>
      </c>
      <c r="I21" t="s">
        <v>10</v>
      </c>
      <c r="J21" t="s">
        <v>11</v>
      </c>
      <c r="K21" t="s">
        <v>12</v>
      </c>
    </row>
    <row r="22" spans="1:11" x14ac:dyDescent="0.25">
      <c r="A22">
        <v>1</v>
      </c>
      <c r="B22">
        <v>2</v>
      </c>
      <c r="C22">
        <v>12.68</v>
      </c>
      <c r="D22">
        <v>12.68</v>
      </c>
      <c r="E22">
        <v>2.16</v>
      </c>
      <c r="F22">
        <v>8.67</v>
      </c>
      <c r="G22">
        <v>49.5</v>
      </c>
      <c r="I22" s="3">
        <f>(E22-$C$4)/$A$4</f>
        <v>2.1600000000000001E-2</v>
      </c>
      <c r="J22" s="3">
        <f>(F22-$D$4)/$B$4</f>
        <v>8.6699999999999999E-2</v>
      </c>
      <c r="K22" s="3">
        <f>C22/$A$4</f>
        <v>0.1268</v>
      </c>
    </row>
    <row r="23" spans="1:11" x14ac:dyDescent="0.25">
      <c r="A23">
        <v>2</v>
      </c>
      <c r="B23">
        <v>4</v>
      </c>
      <c r="C23">
        <v>13.9</v>
      </c>
      <c r="D23">
        <v>13.9</v>
      </c>
      <c r="E23">
        <v>63.3</v>
      </c>
      <c r="F23">
        <v>5.62</v>
      </c>
      <c r="G23">
        <v>0</v>
      </c>
      <c r="I23" s="3">
        <f>(E23-$C$4)/$A$4</f>
        <v>0.63300000000000001</v>
      </c>
      <c r="J23" s="3">
        <f>(F23-$D$4)/$B$4</f>
        <v>5.62E-2</v>
      </c>
      <c r="K23" s="3">
        <f>C23/$A$4</f>
        <v>0.13900000000000001</v>
      </c>
    </row>
    <row r="24" spans="1:11" x14ac:dyDescent="0.25">
      <c r="A24">
        <v>3</v>
      </c>
      <c r="B24">
        <v>4</v>
      </c>
      <c r="C24">
        <v>13.9</v>
      </c>
      <c r="D24">
        <v>13.9</v>
      </c>
      <c r="E24">
        <v>72.349999999999994</v>
      </c>
      <c r="F24">
        <v>20.36</v>
      </c>
      <c r="G24">
        <v>24.6</v>
      </c>
      <c r="H24">
        <v>-1</v>
      </c>
      <c r="I24" s="3">
        <f>(E24-$C$4)/$A$4</f>
        <v>0.72349999999999992</v>
      </c>
      <c r="J24" s="3">
        <f>(F24-$D$4)/$B$4</f>
        <v>0.2036</v>
      </c>
      <c r="K24" s="3">
        <f>C24/$A$4</f>
        <v>0.13900000000000001</v>
      </c>
    </row>
    <row r="25" spans="1:11" x14ac:dyDescent="0.25">
      <c r="A25">
        <v>4</v>
      </c>
      <c r="B25">
        <v>2</v>
      </c>
      <c r="C25">
        <v>14.5</v>
      </c>
      <c r="D25">
        <v>14.5</v>
      </c>
      <c r="E25">
        <v>64.91</v>
      </c>
      <c r="F25">
        <v>50</v>
      </c>
      <c r="G25">
        <v>0</v>
      </c>
      <c r="I25" s="3">
        <f>(E25-$C$4)/$A$4</f>
        <v>0.64910000000000001</v>
      </c>
      <c r="J25" s="3">
        <f>(F25-$D$4)/$B$4</f>
        <v>0.5</v>
      </c>
      <c r="K25" s="3">
        <f>C25/$A$4</f>
        <v>0.14499999999999999</v>
      </c>
    </row>
    <row r="26" spans="1:11" x14ac:dyDescent="0.25">
      <c r="A26">
        <v>5</v>
      </c>
      <c r="B26">
        <v>3</v>
      </c>
      <c r="C26">
        <v>12.98</v>
      </c>
      <c r="D26">
        <v>12.98</v>
      </c>
      <c r="E26">
        <v>0</v>
      </c>
      <c r="F26">
        <v>67.66</v>
      </c>
      <c r="G26">
        <v>0</v>
      </c>
      <c r="H26">
        <v>-1</v>
      </c>
      <c r="I26" s="3">
        <f>(E26-$C$4)/$A$4</f>
        <v>0</v>
      </c>
      <c r="J26" s="3">
        <f>(F26-$D$4)/$B$4</f>
        <v>0.67659999999999998</v>
      </c>
      <c r="K26" s="3">
        <f>C26/$A$4</f>
        <v>0.1298</v>
      </c>
    </row>
    <row r="27" spans="1:11" x14ac:dyDescent="0.25">
      <c r="A27">
        <v>6</v>
      </c>
      <c r="B27">
        <v>3</v>
      </c>
      <c r="C27">
        <v>13.63</v>
      </c>
      <c r="D27">
        <v>13.63</v>
      </c>
      <c r="E27">
        <v>88.09</v>
      </c>
      <c r="F27">
        <v>57.69</v>
      </c>
      <c r="G27">
        <v>0</v>
      </c>
      <c r="I27" s="3">
        <f>(E27-$C$4)/$A$4</f>
        <v>0.88090000000000002</v>
      </c>
      <c r="J27" s="3">
        <f>(F27-$D$4)/$B$4</f>
        <v>0.57689999999999997</v>
      </c>
      <c r="K27" s="3">
        <f>C27/$A$4</f>
        <v>0.1363</v>
      </c>
    </row>
    <row r="28" spans="1:11" x14ac:dyDescent="0.25">
      <c r="A28">
        <v>7</v>
      </c>
      <c r="B28">
        <v>1</v>
      </c>
      <c r="C28">
        <v>12.5</v>
      </c>
      <c r="D28">
        <v>12.5</v>
      </c>
      <c r="E28">
        <v>21.99</v>
      </c>
      <c r="F28">
        <v>85.3</v>
      </c>
      <c r="G28">
        <v>14.5</v>
      </c>
      <c r="I28" s="3">
        <f>(E28-$C$4)/$A$4</f>
        <v>0.21989999999999998</v>
      </c>
      <c r="J28" s="3">
        <f>(F28-$D$4)/$B$4</f>
        <v>0.85299999999999998</v>
      </c>
      <c r="K28" s="3">
        <f>C28/$A$4</f>
        <v>0.125</v>
      </c>
    </row>
    <row r="29" spans="1:11" x14ac:dyDescent="0.25">
      <c r="A29">
        <v>8</v>
      </c>
      <c r="B29">
        <v>1</v>
      </c>
      <c r="C29">
        <v>11.33</v>
      </c>
      <c r="D29">
        <v>11.33</v>
      </c>
      <c r="E29">
        <v>70.239999999999995</v>
      </c>
      <c r="F29">
        <v>90.75</v>
      </c>
      <c r="G29">
        <v>0</v>
      </c>
      <c r="H29">
        <v>-1</v>
      </c>
      <c r="I29" s="3">
        <f>(E29-$C$4)/$A$4</f>
        <v>0.70239999999999991</v>
      </c>
      <c r="J29" s="3">
        <f>(F29-$D$4)/$B$4</f>
        <v>0.90749999999999997</v>
      </c>
      <c r="K29" s="3">
        <f>C29/$A$4</f>
        <v>0.1133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31B9-2377-47CA-8111-8C0BB3C27B14}">
  <dimension ref="A1:K34"/>
  <sheetViews>
    <sheetView workbookViewId="0">
      <selection activeCell="B15" sqref="B15"/>
    </sheetView>
  </sheetViews>
  <sheetFormatPr defaultColWidth="15" defaultRowHeight="15" x14ac:dyDescent="0.25"/>
  <sheetData>
    <row r="1" spans="1:11" x14ac:dyDescent="0.25">
      <c r="A1" s="1" t="s">
        <v>15</v>
      </c>
    </row>
    <row r="2" spans="1:11" x14ac:dyDescent="0.25">
      <c r="A2" s="1" t="s">
        <v>4</v>
      </c>
    </row>
    <row r="3" spans="1:11" x14ac:dyDescent="0.25">
      <c r="A3" t="s">
        <v>5</v>
      </c>
      <c r="B3" t="s">
        <v>6</v>
      </c>
      <c r="C3" t="s">
        <v>8</v>
      </c>
      <c r="D3" t="s">
        <v>9</v>
      </c>
      <c r="E3" t="s">
        <v>7</v>
      </c>
    </row>
    <row r="4" spans="1:11" x14ac:dyDescent="0.25">
      <c r="A4">
        <v>100</v>
      </c>
      <c r="B4">
        <v>100</v>
      </c>
      <c r="C4">
        <v>0</v>
      </c>
      <c r="D4">
        <v>0</v>
      </c>
      <c r="E4">
        <v>0</v>
      </c>
    </row>
    <row r="7" spans="1:11" x14ac:dyDescent="0.25">
      <c r="A7" s="1" t="s">
        <v>0</v>
      </c>
    </row>
    <row r="8" spans="1:11" x14ac:dyDescent="0.25">
      <c r="A8" t="s">
        <v>13</v>
      </c>
      <c r="B8" t="s">
        <v>3</v>
      </c>
      <c r="C8" t="s">
        <v>5</v>
      </c>
      <c r="D8" t="s">
        <v>6</v>
      </c>
      <c r="E8" t="s">
        <v>8</v>
      </c>
      <c r="F8" t="s">
        <v>9</v>
      </c>
      <c r="G8" t="s">
        <v>7</v>
      </c>
      <c r="H8" t="s">
        <v>14</v>
      </c>
      <c r="I8" t="s">
        <v>10</v>
      </c>
      <c r="J8" t="s">
        <v>11</v>
      </c>
      <c r="K8" t="s">
        <v>12</v>
      </c>
    </row>
    <row r="9" spans="1:11" x14ac:dyDescent="0.25">
      <c r="A9">
        <v>1</v>
      </c>
      <c r="B9">
        <v>3</v>
      </c>
      <c r="C9">
        <v>5.24</v>
      </c>
      <c r="D9">
        <f t="shared" ref="D9:D12" si="0">C9</f>
        <v>5.24</v>
      </c>
      <c r="E9">
        <v>44.76</v>
      </c>
      <c r="F9">
        <v>36.96</v>
      </c>
      <c r="G9">
        <v>0</v>
      </c>
      <c r="I9" s="3">
        <f>(E9-$C$4)/$A$4</f>
        <v>0.4476</v>
      </c>
      <c r="J9" s="3">
        <f>(F9-$D$4)/$B$4</f>
        <v>0.36959999999999998</v>
      </c>
      <c r="K9" s="3">
        <f>C9/$A$4</f>
        <v>5.2400000000000002E-2</v>
      </c>
    </row>
    <row r="10" spans="1:11" x14ac:dyDescent="0.25">
      <c r="A10">
        <v>2</v>
      </c>
      <c r="B10">
        <v>1</v>
      </c>
      <c r="C10">
        <v>4.28</v>
      </c>
      <c r="D10">
        <f t="shared" si="0"/>
        <v>4.28</v>
      </c>
      <c r="E10">
        <v>48.46</v>
      </c>
      <c r="F10">
        <v>40.229999999999997</v>
      </c>
      <c r="G10">
        <v>0</v>
      </c>
      <c r="I10" s="3">
        <f>(E10-$C$4)/$A$4</f>
        <v>0.48460000000000003</v>
      </c>
      <c r="J10" s="3">
        <f>(F10-$D$4)/$B$4</f>
        <v>0.40229999999999999</v>
      </c>
      <c r="K10" s="3">
        <f>C10/$A$4</f>
        <v>4.2800000000000005E-2</v>
      </c>
    </row>
    <row r="11" spans="1:11" x14ac:dyDescent="0.25">
      <c r="A11">
        <v>3</v>
      </c>
      <c r="B11">
        <v>2</v>
      </c>
      <c r="C11">
        <v>5.21</v>
      </c>
      <c r="D11">
        <f t="shared" si="0"/>
        <v>5.21</v>
      </c>
      <c r="E11">
        <v>43.7</v>
      </c>
      <c r="F11">
        <v>40.880000000000003</v>
      </c>
      <c r="G11">
        <v>0</v>
      </c>
      <c r="I11" s="3">
        <f>(E11-$C$4)/$A$4</f>
        <v>0.43700000000000006</v>
      </c>
      <c r="J11" s="3">
        <f>(F11-$D$4)/$B$4</f>
        <v>0.40880000000000005</v>
      </c>
      <c r="K11" s="3">
        <f>C11/$A$4</f>
        <v>5.21E-2</v>
      </c>
    </row>
    <row r="12" spans="1:11" x14ac:dyDescent="0.25">
      <c r="A12">
        <v>4</v>
      </c>
      <c r="B12">
        <v>4</v>
      </c>
      <c r="C12">
        <v>5.21</v>
      </c>
      <c r="D12">
        <f t="shared" si="0"/>
        <v>5.21</v>
      </c>
      <c r="E12">
        <v>29.97</v>
      </c>
      <c r="F12">
        <v>54.36</v>
      </c>
      <c r="G12">
        <v>0</v>
      </c>
      <c r="I12" s="3">
        <f>(E12-$C$4)/$A$4</f>
        <v>0.29969999999999997</v>
      </c>
      <c r="J12" s="3">
        <f>(F12-$D$4)/$B$4</f>
        <v>0.54359999999999997</v>
      </c>
      <c r="K12" s="3">
        <f>C12/$A$4</f>
        <v>5.21E-2</v>
      </c>
    </row>
    <row r="13" spans="1:11" x14ac:dyDescent="0.25">
      <c r="I13" s="2"/>
      <c r="J13" s="2"/>
      <c r="K13" s="2"/>
    </row>
    <row r="15" spans="1:11" x14ac:dyDescent="0.25">
      <c r="A15" s="1" t="s">
        <v>1</v>
      </c>
    </row>
    <row r="16" spans="1:11" x14ac:dyDescent="0.25">
      <c r="A16" t="s">
        <v>13</v>
      </c>
      <c r="B16" t="s">
        <v>3</v>
      </c>
      <c r="C16" t="s">
        <v>5</v>
      </c>
      <c r="D16" t="s">
        <v>6</v>
      </c>
      <c r="E16" t="s">
        <v>8</v>
      </c>
      <c r="F16" t="s">
        <v>9</v>
      </c>
      <c r="G16" t="s">
        <v>7</v>
      </c>
      <c r="H16" t="s">
        <v>14</v>
      </c>
      <c r="I16" t="s">
        <v>10</v>
      </c>
      <c r="J16" t="s">
        <v>11</v>
      </c>
      <c r="K16" t="s">
        <v>12</v>
      </c>
    </row>
    <row r="17" spans="1:11" x14ac:dyDescent="0.25">
      <c r="A17">
        <v>1</v>
      </c>
      <c r="B17">
        <v>1</v>
      </c>
      <c r="C17">
        <v>8.57</v>
      </c>
      <c r="D17">
        <f>C17</f>
        <v>8.57</v>
      </c>
      <c r="E17">
        <v>68.680000000000007</v>
      </c>
      <c r="F17">
        <v>52.23</v>
      </c>
      <c r="G17">
        <v>180</v>
      </c>
      <c r="I17" s="3">
        <f>(E17-$C$4)/$A$4</f>
        <v>0.68680000000000008</v>
      </c>
      <c r="J17" s="3">
        <f>(F17-$D$4)/$B$4</f>
        <v>0.52229999999999999</v>
      </c>
      <c r="K17" s="3">
        <f>C17/$A$4</f>
        <v>8.5699999999999998E-2</v>
      </c>
    </row>
    <row r="18" spans="1:11" x14ac:dyDescent="0.25">
      <c r="A18">
        <v>2</v>
      </c>
      <c r="B18">
        <v>2</v>
      </c>
      <c r="C18">
        <v>9.25</v>
      </c>
      <c r="D18">
        <f t="shared" ref="D18:D23" si="1">C18</f>
        <v>9.25</v>
      </c>
      <c r="E18">
        <v>75.81</v>
      </c>
      <c r="F18">
        <v>51.36</v>
      </c>
      <c r="G18">
        <v>180</v>
      </c>
      <c r="I18" s="3">
        <f>(E18-$C$4)/$A$4</f>
        <v>0.7581</v>
      </c>
      <c r="J18" s="3">
        <f>(F18-$D$4)/$B$4</f>
        <v>0.51359999999999995</v>
      </c>
      <c r="K18" s="3">
        <f>C18/$A$4</f>
        <v>9.2499999999999999E-2</v>
      </c>
    </row>
    <row r="19" spans="1:11" x14ac:dyDescent="0.25">
      <c r="A19">
        <v>3</v>
      </c>
      <c r="B19">
        <v>1</v>
      </c>
      <c r="C19">
        <v>8.57</v>
      </c>
      <c r="D19">
        <f t="shared" si="1"/>
        <v>8.57</v>
      </c>
      <c r="E19">
        <v>84.61</v>
      </c>
      <c r="F19">
        <v>54.36</v>
      </c>
      <c r="G19">
        <v>0</v>
      </c>
      <c r="I19" s="3">
        <f>(E19-$C$4)/$A$4</f>
        <v>0.84609999999999996</v>
      </c>
      <c r="J19" s="3">
        <f>(F19-$D$4)/$B$4</f>
        <v>0.54359999999999997</v>
      </c>
      <c r="K19" s="3">
        <f>C19/$A$4</f>
        <v>8.5699999999999998E-2</v>
      </c>
    </row>
    <row r="20" spans="1:11" x14ac:dyDescent="0.25">
      <c r="A20">
        <v>4</v>
      </c>
      <c r="B20">
        <v>3</v>
      </c>
      <c r="C20">
        <v>9.7899999999999991</v>
      </c>
      <c r="D20">
        <f t="shared" si="1"/>
        <v>9.7899999999999991</v>
      </c>
      <c r="E20">
        <v>43.7</v>
      </c>
      <c r="F20">
        <v>69.2</v>
      </c>
      <c r="G20">
        <v>0</v>
      </c>
      <c r="I20" s="3">
        <f>(E20-$C$4)/$A$4</f>
        <v>0.43700000000000006</v>
      </c>
      <c r="J20" s="3">
        <f>(F20-$D$4)/$B$4</f>
        <v>0.69200000000000006</v>
      </c>
      <c r="K20" s="3">
        <f>C20/$A$4</f>
        <v>9.7899999999999987E-2</v>
      </c>
    </row>
    <row r="21" spans="1:11" x14ac:dyDescent="0.25">
      <c r="A21">
        <v>5</v>
      </c>
      <c r="B21">
        <v>4</v>
      </c>
      <c r="C21">
        <v>8.8000000000000007</v>
      </c>
      <c r="D21">
        <f t="shared" si="1"/>
        <v>8.8000000000000007</v>
      </c>
      <c r="E21">
        <v>41.8</v>
      </c>
      <c r="F21">
        <v>85.51</v>
      </c>
      <c r="G21">
        <v>0</v>
      </c>
      <c r="I21" s="3">
        <f>(E21-$C$4)/$A$4</f>
        <v>0.41799999999999998</v>
      </c>
      <c r="J21" s="3">
        <f>(F21-$D$4)/$B$4</f>
        <v>0.85510000000000008</v>
      </c>
      <c r="K21" s="3">
        <f>C21/$A$4</f>
        <v>8.8000000000000009E-2</v>
      </c>
    </row>
    <row r="22" spans="1:11" x14ac:dyDescent="0.25">
      <c r="A22">
        <v>6</v>
      </c>
      <c r="B22">
        <v>2</v>
      </c>
      <c r="C22">
        <v>9.25</v>
      </c>
      <c r="D22">
        <f t="shared" si="1"/>
        <v>9.25</v>
      </c>
      <c r="E22">
        <v>38.130000000000003</v>
      </c>
      <c r="F22">
        <v>90.89</v>
      </c>
      <c r="G22">
        <v>0</v>
      </c>
      <c r="I22" s="3">
        <f>(E22-$C$4)/$A$4</f>
        <v>0.38130000000000003</v>
      </c>
      <c r="J22" s="3">
        <f>(F22-$D$4)/$B$4</f>
        <v>0.90890000000000004</v>
      </c>
      <c r="K22" s="3">
        <f>C22/$A$4</f>
        <v>9.2499999999999999E-2</v>
      </c>
    </row>
    <row r="23" spans="1:11" x14ac:dyDescent="0.25">
      <c r="A23">
        <v>7</v>
      </c>
      <c r="B23">
        <v>4</v>
      </c>
      <c r="C23">
        <v>8.8000000000000007</v>
      </c>
      <c r="D23">
        <f t="shared" si="1"/>
        <v>8.8000000000000007</v>
      </c>
      <c r="E23">
        <v>46.2</v>
      </c>
      <c r="F23">
        <v>91.34</v>
      </c>
      <c r="G23">
        <v>90</v>
      </c>
      <c r="I23" s="3">
        <f>(E23-$C$4)/$A$4</f>
        <v>0.46200000000000002</v>
      </c>
      <c r="J23" s="3">
        <f>(F23-$D$4)/$B$4</f>
        <v>0.91339999999999999</v>
      </c>
      <c r="K23" s="3">
        <f>C23/$A$4</f>
        <v>8.8000000000000009E-2</v>
      </c>
    </row>
    <row r="24" spans="1:11" x14ac:dyDescent="0.25">
      <c r="I24" s="3"/>
      <c r="J24" s="3"/>
      <c r="K24" s="3"/>
    </row>
    <row r="25" spans="1:11" x14ac:dyDescent="0.25">
      <c r="I25" s="3"/>
      <c r="J25" s="3"/>
      <c r="K25" s="3"/>
    </row>
    <row r="26" spans="1:11" x14ac:dyDescent="0.25">
      <c r="A26" s="1" t="s">
        <v>2</v>
      </c>
    </row>
    <row r="27" spans="1:11" x14ac:dyDescent="0.25">
      <c r="A27" t="s">
        <v>13</v>
      </c>
      <c r="B27" t="s">
        <v>3</v>
      </c>
      <c r="C27" t="s">
        <v>5</v>
      </c>
      <c r="D27" t="s">
        <v>6</v>
      </c>
      <c r="E27" t="s">
        <v>8</v>
      </c>
      <c r="F27" t="s">
        <v>9</v>
      </c>
      <c r="G27" t="s">
        <v>7</v>
      </c>
      <c r="H27" t="s">
        <v>14</v>
      </c>
      <c r="I27" t="s">
        <v>10</v>
      </c>
      <c r="J27" t="s">
        <v>11</v>
      </c>
      <c r="K27" t="s">
        <v>12</v>
      </c>
    </row>
    <row r="28" spans="1:11" x14ac:dyDescent="0.25">
      <c r="A28">
        <v>1</v>
      </c>
      <c r="B28">
        <v>1</v>
      </c>
      <c r="C28">
        <v>11.34</v>
      </c>
      <c r="D28">
        <f>C28</f>
        <v>11.34</v>
      </c>
      <c r="E28">
        <v>75.81</v>
      </c>
      <c r="F28">
        <v>0</v>
      </c>
      <c r="G28">
        <v>0</v>
      </c>
      <c r="I28" s="3">
        <f>(E28-$C$4)/$A$4</f>
        <v>0.7581</v>
      </c>
      <c r="J28" s="3">
        <f>(F28-$D$4)/$B$4</f>
        <v>0</v>
      </c>
      <c r="K28" s="3">
        <f>C28/$A$4</f>
        <v>0.1134</v>
      </c>
    </row>
    <row r="29" spans="1:11" x14ac:dyDescent="0.25">
      <c r="A29">
        <v>2</v>
      </c>
      <c r="B29">
        <v>2</v>
      </c>
      <c r="C29">
        <v>12.7</v>
      </c>
      <c r="D29">
        <f>C29</f>
        <v>12.7</v>
      </c>
      <c r="E29">
        <v>52.37</v>
      </c>
      <c r="F29">
        <v>36.450000000000003</v>
      </c>
      <c r="G29">
        <v>49.5</v>
      </c>
      <c r="I29" s="3">
        <f>(E29-$C$4)/$A$4</f>
        <v>0.52369999999999994</v>
      </c>
      <c r="J29" s="3">
        <f>(F29-$D$4)/$B$4</f>
        <v>0.36450000000000005</v>
      </c>
      <c r="K29" s="3">
        <f>C29/$A$4</f>
        <v>0.127</v>
      </c>
    </row>
    <row r="30" spans="1:11" x14ac:dyDescent="0.25">
      <c r="A30">
        <v>3</v>
      </c>
      <c r="B30">
        <v>1</v>
      </c>
      <c r="C30">
        <v>11.34</v>
      </c>
      <c r="D30">
        <f>C30</f>
        <v>11.34</v>
      </c>
      <c r="E30">
        <v>88.51</v>
      </c>
      <c r="F30">
        <v>45.07</v>
      </c>
      <c r="G30">
        <v>0</v>
      </c>
      <c r="H30">
        <v>-1</v>
      </c>
      <c r="I30" s="3">
        <f>(E30-$C$4)/$A$4</f>
        <v>0.8851</v>
      </c>
      <c r="J30" s="3">
        <f>(F30-$D$4)/$B$4</f>
        <v>0.45069999999999999</v>
      </c>
      <c r="K30" s="3">
        <f>C30/$A$4</f>
        <v>0.1134</v>
      </c>
    </row>
    <row r="31" spans="1:11" x14ac:dyDescent="0.25">
      <c r="A31">
        <v>4</v>
      </c>
      <c r="B31">
        <v>3</v>
      </c>
      <c r="C31">
        <v>13</v>
      </c>
      <c r="D31">
        <f>C31</f>
        <v>13</v>
      </c>
      <c r="E31">
        <v>1.97</v>
      </c>
      <c r="F31">
        <v>78.59</v>
      </c>
      <c r="G31">
        <v>0</v>
      </c>
      <c r="H31">
        <v>-1</v>
      </c>
      <c r="I31" s="3">
        <f>(E31-$C$4)/$A$4</f>
        <v>1.9699999999999999E-2</v>
      </c>
      <c r="J31" s="3">
        <f>(F31-$D$4)/$B$4</f>
        <v>0.78590000000000004</v>
      </c>
      <c r="K31" s="3">
        <f>C31/$A$4</f>
        <v>0.13</v>
      </c>
    </row>
    <row r="32" spans="1:11" x14ac:dyDescent="0.25">
      <c r="A32">
        <v>5</v>
      </c>
      <c r="B32">
        <v>4</v>
      </c>
      <c r="C32">
        <v>13.92</v>
      </c>
      <c r="D32">
        <f>C32</f>
        <v>13.92</v>
      </c>
      <c r="E32">
        <v>63.02</v>
      </c>
      <c r="F32">
        <v>86.12</v>
      </c>
      <c r="G32">
        <v>24.6</v>
      </c>
      <c r="H32">
        <v>-1</v>
      </c>
      <c r="I32" s="3">
        <f>(E32-$C$4)/$A$4</f>
        <v>0.63019999999999998</v>
      </c>
      <c r="J32" s="3">
        <f>(F32-$D$4)/$B$4</f>
        <v>0.86120000000000008</v>
      </c>
      <c r="K32" s="3">
        <f>C32/$A$4</f>
        <v>0.13919999999999999</v>
      </c>
    </row>
    <row r="33" spans="9:11" x14ac:dyDescent="0.25">
      <c r="I33" s="3"/>
      <c r="J33" s="3"/>
      <c r="K33" s="3"/>
    </row>
    <row r="34" spans="9:11" x14ac:dyDescent="0.25">
      <c r="I34" s="3"/>
      <c r="J34" s="3"/>
      <c r="K34" s="3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7E3F-BA43-44C8-80C8-ECB7764D13BE}">
  <dimension ref="A1:K43"/>
  <sheetViews>
    <sheetView workbookViewId="0">
      <selection activeCell="D44" sqref="D44"/>
    </sheetView>
  </sheetViews>
  <sheetFormatPr defaultColWidth="15" defaultRowHeight="15" x14ac:dyDescent="0.25"/>
  <sheetData>
    <row r="1" spans="1:11" x14ac:dyDescent="0.25">
      <c r="A1" s="1" t="s">
        <v>17</v>
      </c>
    </row>
    <row r="2" spans="1:11" x14ac:dyDescent="0.25">
      <c r="A2" s="1" t="s">
        <v>4</v>
      </c>
    </row>
    <row r="3" spans="1:11" x14ac:dyDescent="0.25">
      <c r="A3" t="s">
        <v>5</v>
      </c>
      <c r="B3" t="s">
        <v>6</v>
      </c>
      <c r="C3" t="s">
        <v>8</v>
      </c>
      <c r="D3" t="s">
        <v>9</v>
      </c>
      <c r="E3" t="s">
        <v>7</v>
      </c>
    </row>
    <row r="4" spans="1:11" x14ac:dyDescent="0.25">
      <c r="A4">
        <v>100</v>
      </c>
      <c r="B4">
        <v>100</v>
      </c>
      <c r="C4">
        <v>0</v>
      </c>
      <c r="D4">
        <v>0</v>
      </c>
      <c r="E4">
        <v>0</v>
      </c>
    </row>
    <row r="7" spans="1:11" x14ac:dyDescent="0.25">
      <c r="A7" s="1" t="s">
        <v>0</v>
      </c>
    </row>
    <row r="8" spans="1:11" x14ac:dyDescent="0.25">
      <c r="A8" t="s">
        <v>13</v>
      </c>
      <c r="B8" t="s">
        <v>3</v>
      </c>
      <c r="C8" t="s">
        <v>5</v>
      </c>
      <c r="D8" t="s">
        <v>6</v>
      </c>
      <c r="E8" t="s">
        <v>8</v>
      </c>
      <c r="F8" t="s">
        <v>9</v>
      </c>
      <c r="G8" t="s">
        <v>7</v>
      </c>
      <c r="H8" t="s">
        <v>14</v>
      </c>
      <c r="I8" t="s">
        <v>10</v>
      </c>
      <c r="J8" t="s">
        <v>11</v>
      </c>
      <c r="K8" t="s">
        <v>12</v>
      </c>
    </row>
    <row r="9" spans="1:11" x14ac:dyDescent="0.25">
      <c r="A9">
        <v>1</v>
      </c>
      <c r="B9">
        <v>3</v>
      </c>
      <c r="C9">
        <v>5.24</v>
      </c>
      <c r="D9">
        <f t="shared" ref="D9:D16" si="0">C9</f>
        <v>5.24</v>
      </c>
      <c r="E9">
        <v>46.84</v>
      </c>
      <c r="F9">
        <v>71.42</v>
      </c>
      <c r="G9">
        <v>0</v>
      </c>
      <c r="I9" s="3">
        <f>(E9-$C$4)/$A$4</f>
        <v>0.46840000000000004</v>
      </c>
      <c r="J9" s="3">
        <f>(F9-$D$4)/$B$4</f>
        <v>0.71420000000000006</v>
      </c>
      <c r="K9" s="3">
        <f>C9/$A$4</f>
        <v>5.2400000000000002E-2</v>
      </c>
    </row>
    <row r="10" spans="1:11" x14ac:dyDescent="0.25">
      <c r="A10">
        <v>2</v>
      </c>
      <c r="B10">
        <v>1</v>
      </c>
      <c r="C10">
        <v>4.28</v>
      </c>
      <c r="D10">
        <f t="shared" si="0"/>
        <v>4.28</v>
      </c>
      <c r="E10">
        <v>51.6</v>
      </c>
      <c r="F10">
        <v>74.040000000000006</v>
      </c>
      <c r="G10">
        <v>0</v>
      </c>
      <c r="I10" s="3">
        <f>(E10-$C$4)/$A$4</f>
        <v>0.51600000000000001</v>
      </c>
      <c r="J10" s="3">
        <f>(F10-$D$4)/$B$4</f>
        <v>0.74040000000000006</v>
      </c>
      <c r="K10" s="3">
        <f>C10/$A$4</f>
        <v>4.2800000000000005E-2</v>
      </c>
    </row>
    <row r="11" spans="1:11" x14ac:dyDescent="0.25">
      <c r="A11">
        <v>3</v>
      </c>
      <c r="B11">
        <v>1</v>
      </c>
      <c r="C11">
        <v>4.28</v>
      </c>
      <c r="D11">
        <f t="shared" si="0"/>
        <v>4.28</v>
      </c>
      <c r="E11">
        <v>49.46</v>
      </c>
      <c r="F11">
        <v>75.89</v>
      </c>
      <c r="G11">
        <v>0</v>
      </c>
      <c r="H11">
        <v>-1</v>
      </c>
      <c r="I11" s="3">
        <f>(E11-$C$4)/$A$4</f>
        <v>0.49459999999999998</v>
      </c>
      <c r="J11" s="3">
        <f>(F11-$D$4)/$B$4</f>
        <v>0.75890000000000002</v>
      </c>
      <c r="K11" s="3">
        <f>C11/$A$4</f>
        <v>4.2800000000000005E-2</v>
      </c>
    </row>
    <row r="12" spans="1:11" x14ac:dyDescent="0.25">
      <c r="A12">
        <v>4</v>
      </c>
      <c r="B12">
        <v>4</v>
      </c>
      <c r="C12">
        <v>5.2</v>
      </c>
      <c r="D12">
        <f t="shared" si="0"/>
        <v>5.2</v>
      </c>
      <c r="E12">
        <v>55.9</v>
      </c>
      <c r="F12">
        <v>74.47</v>
      </c>
      <c r="G12">
        <v>0</v>
      </c>
      <c r="H12">
        <v>-1</v>
      </c>
      <c r="I12" s="3">
        <f>(E12-$C$4)/$A$4</f>
        <v>0.55899999999999994</v>
      </c>
      <c r="J12" s="3">
        <f>(F12-$D$4)/$B$4</f>
        <v>0.74470000000000003</v>
      </c>
      <c r="K12" s="3">
        <f>C12/$A$4</f>
        <v>5.2000000000000005E-2</v>
      </c>
    </row>
    <row r="13" spans="1:11" x14ac:dyDescent="0.25">
      <c r="A13">
        <v>5</v>
      </c>
      <c r="B13">
        <v>2</v>
      </c>
      <c r="C13">
        <v>5.2</v>
      </c>
      <c r="D13">
        <f t="shared" si="0"/>
        <v>5.2</v>
      </c>
      <c r="E13">
        <v>48.54</v>
      </c>
      <c r="F13">
        <v>78.180000000000007</v>
      </c>
      <c r="G13">
        <v>0</v>
      </c>
      <c r="H13">
        <v>-1</v>
      </c>
      <c r="I13" s="3">
        <f t="shared" ref="I13:I16" si="1">(E13-$C$4)/$A$4</f>
        <v>0.4854</v>
      </c>
      <c r="J13" s="3">
        <f t="shared" ref="J13:J16" si="2">(F13-$D$4)/$B$4</f>
        <v>0.78180000000000005</v>
      </c>
      <c r="K13" s="3">
        <f t="shared" ref="K13:K16" si="3">C13/$A$4</f>
        <v>5.2000000000000005E-2</v>
      </c>
    </row>
    <row r="14" spans="1:11" x14ac:dyDescent="0.25">
      <c r="A14">
        <v>6</v>
      </c>
      <c r="B14">
        <v>3</v>
      </c>
      <c r="C14">
        <v>5.24</v>
      </c>
      <c r="D14">
        <f t="shared" si="0"/>
        <v>5.24</v>
      </c>
      <c r="E14">
        <v>53.26</v>
      </c>
      <c r="F14">
        <v>78.319999999999993</v>
      </c>
      <c r="G14">
        <v>0</v>
      </c>
      <c r="H14">
        <v>-1</v>
      </c>
      <c r="I14" s="3">
        <f t="shared" si="1"/>
        <v>0.53259999999999996</v>
      </c>
      <c r="J14" s="3">
        <f t="shared" si="2"/>
        <v>0.7831999999999999</v>
      </c>
      <c r="K14" s="3">
        <f t="shared" si="3"/>
        <v>5.2400000000000002E-2</v>
      </c>
    </row>
    <row r="15" spans="1:11" x14ac:dyDescent="0.25">
      <c r="A15">
        <v>7</v>
      </c>
      <c r="B15">
        <v>4</v>
      </c>
      <c r="C15">
        <v>5.2</v>
      </c>
      <c r="D15">
        <f t="shared" si="0"/>
        <v>5.2</v>
      </c>
      <c r="E15">
        <v>40.54</v>
      </c>
      <c r="F15">
        <v>93.79</v>
      </c>
      <c r="G15">
        <v>0</v>
      </c>
      <c r="I15" s="3">
        <f t="shared" si="1"/>
        <v>0.40539999999999998</v>
      </c>
      <c r="J15" s="3">
        <f t="shared" si="2"/>
        <v>0.93790000000000007</v>
      </c>
      <c r="K15" s="3">
        <f t="shared" si="3"/>
        <v>5.2000000000000005E-2</v>
      </c>
    </row>
    <row r="16" spans="1:11" x14ac:dyDescent="0.25">
      <c r="A16">
        <v>8</v>
      </c>
      <c r="B16">
        <v>2</v>
      </c>
      <c r="C16">
        <v>5.2</v>
      </c>
      <c r="D16">
        <f t="shared" si="0"/>
        <v>5.2</v>
      </c>
      <c r="E16">
        <v>36.51</v>
      </c>
      <c r="F16">
        <v>95.46</v>
      </c>
      <c r="G16">
        <v>0</v>
      </c>
      <c r="I16" s="3">
        <f t="shared" si="1"/>
        <v>0.36509999999999998</v>
      </c>
      <c r="J16" s="3">
        <f t="shared" si="2"/>
        <v>0.95459999999999989</v>
      </c>
      <c r="K16" s="3">
        <f t="shared" si="3"/>
        <v>5.2000000000000005E-2</v>
      </c>
    </row>
    <row r="17" spans="1:11" x14ac:dyDescent="0.25">
      <c r="I17" s="2"/>
      <c r="J17" s="2"/>
      <c r="K17" s="2"/>
    </row>
    <row r="19" spans="1:11" x14ac:dyDescent="0.25">
      <c r="A19" s="1" t="s">
        <v>1</v>
      </c>
    </row>
    <row r="20" spans="1:11" x14ac:dyDescent="0.25">
      <c r="A20" t="s">
        <v>13</v>
      </c>
      <c r="B20" t="s">
        <v>3</v>
      </c>
      <c r="C20" t="s">
        <v>5</v>
      </c>
      <c r="D20" t="s">
        <v>6</v>
      </c>
      <c r="E20" t="s">
        <v>8</v>
      </c>
      <c r="F20" t="s">
        <v>9</v>
      </c>
      <c r="G20" t="s">
        <v>7</v>
      </c>
      <c r="H20" t="s">
        <v>14</v>
      </c>
      <c r="I20" t="s">
        <v>10</v>
      </c>
      <c r="J20" t="s">
        <v>11</v>
      </c>
      <c r="K20" t="s">
        <v>12</v>
      </c>
    </row>
    <row r="21" spans="1:11" x14ac:dyDescent="0.25">
      <c r="A21">
        <v>1</v>
      </c>
      <c r="B21">
        <v>2</v>
      </c>
      <c r="C21">
        <v>9.24</v>
      </c>
      <c r="D21">
        <f>C21</f>
        <v>9.24</v>
      </c>
      <c r="E21">
        <v>14.75</v>
      </c>
      <c r="F21">
        <v>34.700000000000003</v>
      </c>
      <c r="G21">
        <v>0</v>
      </c>
      <c r="H21">
        <v>-1</v>
      </c>
      <c r="I21" s="3">
        <f>(E21-$C$4)/$A$4</f>
        <v>0.14749999999999999</v>
      </c>
      <c r="J21" s="3">
        <f>(F21-$D$4)/$B$4</f>
        <v>0.34700000000000003</v>
      </c>
      <c r="K21" s="3">
        <f>C21/$A$4</f>
        <v>9.2399999999999996E-2</v>
      </c>
    </row>
    <row r="22" spans="1:11" x14ac:dyDescent="0.25">
      <c r="A22">
        <v>2</v>
      </c>
      <c r="B22">
        <v>4</v>
      </c>
      <c r="C22">
        <v>8.7899999999999991</v>
      </c>
      <c r="D22">
        <f t="shared" ref="D22:D32" si="4">C22</f>
        <v>8.7899999999999991</v>
      </c>
      <c r="E22">
        <v>21.53</v>
      </c>
      <c r="F22">
        <v>32.130000000000003</v>
      </c>
      <c r="G22">
        <v>0</v>
      </c>
      <c r="H22">
        <v>-1</v>
      </c>
      <c r="I22" s="3">
        <f>(E22-$C$4)/$A$4</f>
        <v>0.21530000000000002</v>
      </c>
      <c r="J22" s="3">
        <f>(F22-$D$4)/$B$4</f>
        <v>0.32130000000000003</v>
      </c>
      <c r="K22" s="3">
        <f>C22/$A$4</f>
        <v>8.7899999999999992E-2</v>
      </c>
    </row>
    <row r="23" spans="1:11" x14ac:dyDescent="0.25">
      <c r="A23">
        <v>3</v>
      </c>
      <c r="B23">
        <v>4</v>
      </c>
      <c r="C23">
        <v>8.7899999999999991</v>
      </c>
      <c r="D23">
        <f t="shared" si="4"/>
        <v>8.7899999999999991</v>
      </c>
      <c r="E23">
        <v>28.84</v>
      </c>
      <c r="F23">
        <v>34.700000000000003</v>
      </c>
      <c r="G23">
        <v>0</v>
      </c>
      <c r="I23" s="3">
        <f>(E23-$C$4)/$A$4</f>
        <v>0.28839999999999999</v>
      </c>
      <c r="J23" s="3">
        <f>(F23-$D$4)/$B$4</f>
        <v>0.34700000000000003</v>
      </c>
      <c r="K23" s="3">
        <f>C23/$A$4</f>
        <v>8.7899999999999992E-2</v>
      </c>
    </row>
    <row r="24" spans="1:11" x14ac:dyDescent="0.25">
      <c r="A24">
        <v>4</v>
      </c>
      <c r="B24">
        <v>4</v>
      </c>
      <c r="C24">
        <v>8.7899999999999991</v>
      </c>
      <c r="D24">
        <f t="shared" si="4"/>
        <v>8.7899999999999991</v>
      </c>
      <c r="E24">
        <v>23.99</v>
      </c>
      <c r="F24">
        <v>39.32</v>
      </c>
      <c r="G24">
        <v>180</v>
      </c>
      <c r="I24" s="3">
        <f>(E24-$C$4)/$A$4</f>
        <v>0.23989999999999997</v>
      </c>
      <c r="J24" s="3">
        <f>(F24-$D$4)/$B$4</f>
        <v>0.39319999999999999</v>
      </c>
      <c r="K24" s="3">
        <f>C24/$A$4</f>
        <v>8.7899999999999992E-2</v>
      </c>
    </row>
    <row r="25" spans="1:11" x14ac:dyDescent="0.25">
      <c r="A25">
        <v>5</v>
      </c>
      <c r="B25">
        <v>1</v>
      </c>
      <c r="C25">
        <v>8.56</v>
      </c>
      <c r="D25">
        <f t="shared" si="4"/>
        <v>8.56</v>
      </c>
      <c r="E25">
        <v>80.36</v>
      </c>
      <c r="F25">
        <v>45.66</v>
      </c>
      <c r="G25">
        <v>0</v>
      </c>
      <c r="I25" s="3">
        <f>(E25-$C$4)/$A$4</f>
        <v>0.80359999999999998</v>
      </c>
      <c r="J25" s="3">
        <f>(F25-$D$4)/$B$4</f>
        <v>0.45659999999999995</v>
      </c>
      <c r="K25" s="3">
        <f>C25/$A$4</f>
        <v>8.5600000000000009E-2</v>
      </c>
    </row>
    <row r="26" spans="1:11" x14ac:dyDescent="0.25">
      <c r="A26">
        <v>6</v>
      </c>
      <c r="B26">
        <v>1</v>
      </c>
      <c r="C26">
        <v>8.56</v>
      </c>
      <c r="D26">
        <f t="shared" si="4"/>
        <v>8.56</v>
      </c>
      <c r="E26">
        <v>87.18</v>
      </c>
      <c r="F26">
        <v>51.43</v>
      </c>
      <c r="G26">
        <v>0</v>
      </c>
      <c r="H26">
        <v>-1</v>
      </c>
      <c r="I26" s="3">
        <f>(E26-$C$4)/$A$4</f>
        <v>0.87180000000000002</v>
      </c>
      <c r="J26" s="3">
        <f>(F26-$D$4)/$B$4</f>
        <v>0.51429999999999998</v>
      </c>
      <c r="K26" s="3">
        <f>C26/$A$4</f>
        <v>8.5600000000000009E-2</v>
      </c>
    </row>
    <row r="27" spans="1:11" x14ac:dyDescent="0.25">
      <c r="A27">
        <v>7</v>
      </c>
      <c r="B27">
        <v>1</v>
      </c>
      <c r="C27">
        <v>8.56</v>
      </c>
      <c r="D27">
        <f t="shared" si="4"/>
        <v>8.56</v>
      </c>
      <c r="E27">
        <v>75.53</v>
      </c>
      <c r="F27">
        <v>61.72</v>
      </c>
      <c r="G27">
        <v>188</v>
      </c>
      <c r="I27" s="3">
        <f>(E27-$C$4)/$A$4</f>
        <v>0.75529999999999997</v>
      </c>
      <c r="J27" s="3">
        <f>(F27-$D$4)/$B$4</f>
        <v>0.61719999999999997</v>
      </c>
      <c r="K27" s="3">
        <f>C27/$A$4</f>
        <v>8.5600000000000009E-2</v>
      </c>
    </row>
    <row r="28" spans="1:11" x14ac:dyDescent="0.25">
      <c r="A28">
        <v>8</v>
      </c>
      <c r="B28">
        <v>2</v>
      </c>
      <c r="C28">
        <v>9.24</v>
      </c>
      <c r="D28">
        <f t="shared" si="4"/>
        <v>9.24</v>
      </c>
      <c r="E28">
        <v>70.48</v>
      </c>
      <c r="F28">
        <v>52.63</v>
      </c>
      <c r="G28">
        <f>180-20.3</f>
        <v>159.69999999999999</v>
      </c>
      <c r="I28" s="3">
        <f>(E28-$C$4)/$A$4</f>
        <v>0.70480000000000009</v>
      </c>
      <c r="J28" s="3">
        <f>(F28-$D$4)/$B$4</f>
        <v>0.52629999999999999</v>
      </c>
      <c r="K28" s="3">
        <f>C28/$A$4</f>
        <v>9.2399999999999996E-2</v>
      </c>
    </row>
    <row r="29" spans="1:11" x14ac:dyDescent="0.25">
      <c r="A29">
        <v>9</v>
      </c>
      <c r="B29">
        <v>2</v>
      </c>
      <c r="C29">
        <v>9.24</v>
      </c>
      <c r="D29">
        <f t="shared" si="4"/>
        <v>9.24</v>
      </c>
      <c r="E29">
        <v>81.03</v>
      </c>
      <c r="F29">
        <v>56.54</v>
      </c>
      <c r="G29">
        <v>0</v>
      </c>
      <c r="I29" s="3">
        <f>(E29-$C$4)/$A$4</f>
        <v>0.81030000000000002</v>
      </c>
      <c r="J29" s="3">
        <f>(F29-$D$4)/$B$4</f>
        <v>0.56540000000000001</v>
      </c>
      <c r="K29" s="3">
        <f>C29/$A$4</f>
        <v>9.2399999999999996E-2</v>
      </c>
    </row>
    <row r="30" spans="1:11" x14ac:dyDescent="0.25">
      <c r="A30">
        <v>10</v>
      </c>
      <c r="B30">
        <v>3</v>
      </c>
      <c r="C30">
        <v>9.7799999999999994</v>
      </c>
      <c r="D30">
        <f t="shared" si="4"/>
        <v>9.7799999999999994</v>
      </c>
      <c r="E30">
        <v>81.03</v>
      </c>
      <c r="F30">
        <v>72.84</v>
      </c>
      <c r="G30">
        <v>0</v>
      </c>
      <c r="I30" s="3">
        <f>(E30-$C$4)/$A$4</f>
        <v>0.81030000000000002</v>
      </c>
      <c r="J30" s="3">
        <f>(F30-$D$4)/$B$4</f>
        <v>0.72840000000000005</v>
      </c>
      <c r="K30" s="3">
        <f>C30/$A$4</f>
        <v>9.7799999999999998E-2</v>
      </c>
    </row>
    <row r="31" spans="1:11" x14ac:dyDescent="0.25">
      <c r="A31">
        <v>11</v>
      </c>
      <c r="B31">
        <v>3</v>
      </c>
      <c r="C31">
        <v>9.7799999999999994</v>
      </c>
      <c r="D31">
        <f t="shared" si="4"/>
        <v>9.7799999999999994</v>
      </c>
      <c r="E31">
        <v>74.13</v>
      </c>
      <c r="F31">
        <v>75.89</v>
      </c>
      <c r="G31">
        <v>0</v>
      </c>
      <c r="H31">
        <v>-1</v>
      </c>
      <c r="I31" s="3">
        <f>(E31-$C$4)/$A$4</f>
        <v>0.74129999999999996</v>
      </c>
      <c r="J31" s="3">
        <f>(F31-$D$4)/$B$4</f>
        <v>0.75890000000000002</v>
      </c>
      <c r="K31" s="3">
        <f>C31/$A$4</f>
        <v>9.7799999999999998E-2</v>
      </c>
    </row>
    <row r="32" spans="1:11" x14ac:dyDescent="0.25">
      <c r="A32">
        <v>12</v>
      </c>
      <c r="B32">
        <v>3</v>
      </c>
      <c r="C32">
        <v>9.7799999999999994</v>
      </c>
      <c r="D32">
        <v>9.7799999999999994</v>
      </c>
      <c r="E32">
        <v>77.709999999999994</v>
      </c>
      <c r="F32">
        <v>86.92</v>
      </c>
      <c r="G32">
        <f>38.4-180</f>
        <v>-141.6</v>
      </c>
      <c r="I32" s="3">
        <f>(E32-$C$4)/$A$4</f>
        <v>0.7770999999999999</v>
      </c>
      <c r="J32" s="3">
        <f>(F32-$D$4)/$B$4</f>
        <v>0.86919999999999997</v>
      </c>
      <c r="K32" s="3">
        <f>C32/$A$4</f>
        <v>9.7799999999999998E-2</v>
      </c>
    </row>
    <row r="33" spans="1:11" x14ac:dyDescent="0.25">
      <c r="I33" s="3"/>
      <c r="J33" s="3"/>
      <c r="K33" s="3"/>
    </row>
    <row r="34" spans="1:11" x14ac:dyDescent="0.25">
      <c r="I34" s="3"/>
      <c r="J34" s="3"/>
      <c r="K34" s="3"/>
    </row>
    <row r="35" spans="1:11" x14ac:dyDescent="0.25">
      <c r="A35" s="1" t="s">
        <v>2</v>
      </c>
    </row>
    <row r="36" spans="1:11" x14ac:dyDescent="0.25">
      <c r="A36" t="s">
        <v>13</v>
      </c>
      <c r="B36" t="s">
        <v>3</v>
      </c>
      <c r="C36" t="s">
        <v>5</v>
      </c>
      <c r="D36" t="s">
        <v>6</v>
      </c>
      <c r="E36" t="s">
        <v>8</v>
      </c>
      <c r="F36" t="s">
        <v>9</v>
      </c>
      <c r="G36" t="s">
        <v>7</v>
      </c>
      <c r="H36" t="s">
        <v>14</v>
      </c>
      <c r="I36" t="s">
        <v>10</v>
      </c>
      <c r="J36" t="s">
        <v>11</v>
      </c>
      <c r="K36" t="s">
        <v>12</v>
      </c>
    </row>
    <row r="37" spans="1:11" x14ac:dyDescent="0.25">
      <c r="A37">
        <v>1</v>
      </c>
      <c r="B37">
        <v>4</v>
      </c>
      <c r="C37">
        <v>13.91</v>
      </c>
      <c r="D37">
        <f>C37</f>
        <v>13.91</v>
      </c>
      <c r="E37">
        <v>72.06</v>
      </c>
      <c r="F37">
        <v>11.26</v>
      </c>
      <c r="G37">
        <v>0</v>
      </c>
      <c r="H37">
        <v>0</v>
      </c>
      <c r="I37" s="3">
        <f>(E37-$C$4)/$A$4</f>
        <v>0.72060000000000002</v>
      </c>
      <c r="J37" s="3">
        <f>(F37-$D$4)/$B$4</f>
        <v>0.11259999999999999</v>
      </c>
      <c r="K37" s="3">
        <f>C37/$A$4</f>
        <v>0.1391</v>
      </c>
    </row>
    <row r="38" spans="1:11" x14ac:dyDescent="0.25">
      <c r="A38">
        <v>2</v>
      </c>
      <c r="B38">
        <v>3</v>
      </c>
      <c r="C38">
        <v>13.64</v>
      </c>
      <c r="D38">
        <f>C38</f>
        <v>13.64</v>
      </c>
      <c r="E38">
        <v>0</v>
      </c>
      <c r="F38">
        <v>76.180000000000007</v>
      </c>
      <c r="G38">
        <v>0</v>
      </c>
      <c r="H38">
        <v>0</v>
      </c>
      <c r="I38" s="3">
        <f>(E38-$C$4)/$A$4</f>
        <v>0</v>
      </c>
      <c r="J38" s="3">
        <f>(F38-$D$4)/$B$4</f>
        <v>0.76180000000000003</v>
      </c>
      <c r="K38" s="3">
        <f>C38/$A$4</f>
        <v>0.13639999999999999</v>
      </c>
    </row>
    <row r="39" spans="1:11" x14ac:dyDescent="0.25">
      <c r="I39" s="3"/>
      <c r="J39" s="3"/>
      <c r="K39" s="3"/>
    </row>
    <row r="40" spans="1:11" x14ac:dyDescent="0.25">
      <c r="I40" s="3"/>
      <c r="J40" s="3"/>
      <c r="K40" s="3"/>
    </row>
    <row r="41" spans="1:11" x14ac:dyDescent="0.25">
      <c r="I41" s="3"/>
      <c r="J41" s="3"/>
      <c r="K41" s="3"/>
    </row>
    <row r="42" spans="1:11" x14ac:dyDescent="0.25">
      <c r="I42" s="3"/>
      <c r="J42" s="3"/>
      <c r="K42" s="3"/>
    </row>
    <row r="43" spans="1:11" x14ac:dyDescent="0.25">
      <c r="I43" s="3"/>
      <c r="J43" s="3"/>
      <c r="K43" s="3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67761-0B1B-4E7D-8B2F-C19ACFF1FA90}">
  <dimension ref="A1:K54"/>
  <sheetViews>
    <sheetView workbookViewId="0">
      <selection activeCell="F51" sqref="F51"/>
    </sheetView>
  </sheetViews>
  <sheetFormatPr defaultColWidth="15" defaultRowHeight="15" x14ac:dyDescent="0.25"/>
  <sheetData>
    <row r="1" spans="1:11" x14ac:dyDescent="0.25">
      <c r="A1" s="1" t="s">
        <v>18</v>
      </c>
    </row>
    <row r="2" spans="1:11" x14ac:dyDescent="0.25">
      <c r="A2" s="1" t="s">
        <v>4</v>
      </c>
    </row>
    <row r="3" spans="1:11" x14ac:dyDescent="0.25">
      <c r="A3" t="s">
        <v>5</v>
      </c>
      <c r="B3" t="s">
        <v>6</v>
      </c>
      <c r="C3" t="s">
        <v>8</v>
      </c>
      <c r="D3" t="s">
        <v>9</v>
      </c>
      <c r="E3" t="s">
        <v>7</v>
      </c>
    </row>
    <row r="4" spans="1:11" x14ac:dyDescent="0.25">
      <c r="A4">
        <v>100</v>
      </c>
      <c r="B4">
        <v>100</v>
      </c>
      <c r="C4">
        <v>0</v>
      </c>
      <c r="D4">
        <v>0</v>
      </c>
      <c r="E4">
        <v>0</v>
      </c>
    </row>
    <row r="7" spans="1:11" x14ac:dyDescent="0.25">
      <c r="A7" s="1" t="s">
        <v>0</v>
      </c>
    </row>
    <row r="8" spans="1:11" x14ac:dyDescent="0.25">
      <c r="A8" t="s">
        <v>13</v>
      </c>
      <c r="B8" t="s">
        <v>3</v>
      </c>
      <c r="C8" t="s">
        <v>5</v>
      </c>
      <c r="D8" t="s">
        <v>6</v>
      </c>
      <c r="E8" t="s">
        <v>8</v>
      </c>
      <c r="F8" t="s">
        <v>9</v>
      </c>
      <c r="G8" t="s">
        <v>7</v>
      </c>
      <c r="H8" t="s">
        <v>14</v>
      </c>
      <c r="I8" t="s">
        <v>10</v>
      </c>
      <c r="J8" t="s">
        <v>11</v>
      </c>
      <c r="K8" t="s">
        <v>12</v>
      </c>
    </row>
    <row r="9" spans="1:11" x14ac:dyDescent="0.25">
      <c r="A9">
        <v>1</v>
      </c>
      <c r="B9">
        <v>2</v>
      </c>
      <c r="C9">
        <v>5.21</v>
      </c>
      <c r="D9">
        <f t="shared" ref="D9:D31" si="0">C9</f>
        <v>5.21</v>
      </c>
      <c r="E9">
        <v>19.059999999999999</v>
      </c>
      <c r="F9">
        <v>28.87</v>
      </c>
      <c r="G9">
        <v>0</v>
      </c>
      <c r="H9">
        <v>-1</v>
      </c>
      <c r="I9" s="3">
        <f>(E9-$C$4)/$A$4</f>
        <v>0.19059999999999999</v>
      </c>
      <c r="J9" s="3">
        <f>(F9-$D$4)/$B$4</f>
        <v>0.28870000000000001</v>
      </c>
      <c r="K9" s="3">
        <f>C9/$A$4</f>
        <v>5.21E-2</v>
      </c>
    </row>
    <row r="10" spans="1:11" x14ac:dyDescent="0.25">
      <c r="A10">
        <v>2</v>
      </c>
      <c r="B10">
        <v>2</v>
      </c>
      <c r="C10">
        <v>5.21</v>
      </c>
      <c r="D10">
        <f t="shared" si="0"/>
        <v>5.21</v>
      </c>
      <c r="E10">
        <v>23.17</v>
      </c>
      <c r="F10">
        <v>237.03</v>
      </c>
      <c r="G10">
        <v>0</v>
      </c>
      <c r="I10" s="3">
        <f>(E10-$C$4)/$A$4</f>
        <v>0.23170000000000002</v>
      </c>
      <c r="J10" s="3">
        <f>(F10-$D$4)/$B$4</f>
        <v>2.3702999999999999</v>
      </c>
      <c r="K10" s="3">
        <f>C10/$A$4</f>
        <v>5.21E-2</v>
      </c>
    </row>
    <row r="11" spans="1:11" x14ac:dyDescent="0.25">
      <c r="A11">
        <v>3</v>
      </c>
      <c r="B11">
        <v>4</v>
      </c>
      <c r="C11">
        <v>5.21</v>
      </c>
      <c r="D11">
        <f t="shared" si="0"/>
        <v>5.21</v>
      </c>
      <c r="E11">
        <v>23.17</v>
      </c>
      <c r="F11">
        <v>22.87</v>
      </c>
      <c r="G11">
        <v>0</v>
      </c>
      <c r="H11">
        <v>-1</v>
      </c>
      <c r="I11" s="3">
        <f>(E11-$C$4)/$A$4</f>
        <v>0.23170000000000002</v>
      </c>
      <c r="J11" s="3">
        <f>(F11-$D$4)/$B$4</f>
        <v>0.22870000000000001</v>
      </c>
      <c r="K11" s="3">
        <f>C11/$A$4</f>
        <v>5.21E-2</v>
      </c>
    </row>
    <row r="12" spans="1:11" x14ac:dyDescent="0.25">
      <c r="A12">
        <v>4</v>
      </c>
      <c r="B12">
        <v>3</v>
      </c>
      <c r="C12">
        <v>5.24</v>
      </c>
      <c r="D12">
        <f t="shared" si="0"/>
        <v>5.24</v>
      </c>
      <c r="E12">
        <v>28.83</v>
      </c>
      <c r="F12">
        <v>16.440000000000001</v>
      </c>
      <c r="G12">
        <v>0</v>
      </c>
      <c r="I12" s="3">
        <f>(E12-$C$4)/$A$4</f>
        <v>0.2883</v>
      </c>
      <c r="J12" s="3">
        <f>(F12-$D$4)/$B$4</f>
        <v>0.16440000000000002</v>
      </c>
      <c r="K12" s="3">
        <f>C12/$A$4</f>
        <v>5.2400000000000002E-2</v>
      </c>
    </row>
    <row r="13" spans="1:11" x14ac:dyDescent="0.25">
      <c r="A13">
        <v>5</v>
      </c>
      <c r="B13">
        <v>2</v>
      </c>
      <c r="C13">
        <v>5.21</v>
      </c>
      <c r="D13">
        <f t="shared" si="0"/>
        <v>5.21</v>
      </c>
      <c r="E13">
        <v>32.659999999999997</v>
      </c>
      <c r="F13">
        <v>15.52</v>
      </c>
      <c r="G13">
        <v>0</v>
      </c>
      <c r="H13">
        <v>-1</v>
      </c>
      <c r="I13" s="3">
        <f t="shared" ref="I13:I16" si="1">(E13-$C$4)/$A$4</f>
        <v>0.32659999999999995</v>
      </c>
      <c r="J13" s="3">
        <f t="shared" ref="J13:J16" si="2">(F13-$D$4)/$B$4</f>
        <v>0.1552</v>
      </c>
      <c r="K13" s="3">
        <f t="shared" ref="K13:K16" si="3">C13/$A$4</f>
        <v>5.21E-2</v>
      </c>
    </row>
    <row r="14" spans="1:11" x14ac:dyDescent="0.25">
      <c r="A14">
        <v>6</v>
      </c>
      <c r="B14">
        <v>3</v>
      </c>
      <c r="C14">
        <v>5.24</v>
      </c>
      <c r="D14">
        <f t="shared" si="0"/>
        <v>5.24</v>
      </c>
      <c r="E14">
        <v>37.9</v>
      </c>
      <c r="F14">
        <v>16.43</v>
      </c>
      <c r="G14">
        <v>0</v>
      </c>
      <c r="H14">
        <v>-1</v>
      </c>
      <c r="I14" s="3">
        <f t="shared" si="1"/>
        <v>0.379</v>
      </c>
      <c r="J14" s="3">
        <f t="shared" si="2"/>
        <v>0.1643</v>
      </c>
      <c r="K14" s="3">
        <f t="shared" si="3"/>
        <v>5.2400000000000002E-2</v>
      </c>
    </row>
    <row r="15" spans="1:11" x14ac:dyDescent="0.25">
      <c r="A15">
        <v>7</v>
      </c>
      <c r="B15">
        <v>1</v>
      </c>
      <c r="C15">
        <v>4.28</v>
      </c>
      <c r="D15">
        <f t="shared" si="0"/>
        <v>4.28</v>
      </c>
      <c r="E15">
        <v>27.17</v>
      </c>
      <c r="F15">
        <v>20.72</v>
      </c>
      <c r="G15">
        <v>0</v>
      </c>
      <c r="H15">
        <v>-1</v>
      </c>
      <c r="I15" s="3">
        <f t="shared" si="1"/>
        <v>0.2717</v>
      </c>
      <c r="J15" s="3">
        <f t="shared" si="2"/>
        <v>0.2072</v>
      </c>
      <c r="K15" s="3">
        <f t="shared" si="3"/>
        <v>4.2800000000000005E-2</v>
      </c>
    </row>
    <row r="16" spans="1:11" x14ac:dyDescent="0.25">
      <c r="A16">
        <v>8</v>
      </c>
      <c r="B16">
        <v>3</v>
      </c>
      <c r="C16">
        <v>5.24</v>
      </c>
      <c r="D16">
        <f t="shared" si="0"/>
        <v>5.24</v>
      </c>
      <c r="E16">
        <v>32.659999999999997</v>
      </c>
      <c r="F16">
        <v>19.77</v>
      </c>
      <c r="G16">
        <v>0</v>
      </c>
      <c r="H16">
        <v>-1</v>
      </c>
      <c r="I16" s="3">
        <f t="shared" si="1"/>
        <v>0.32659999999999995</v>
      </c>
      <c r="J16" s="3">
        <f t="shared" si="2"/>
        <v>0.19769999999999999</v>
      </c>
      <c r="K16" s="3">
        <f t="shared" si="3"/>
        <v>5.2400000000000002E-2</v>
      </c>
    </row>
    <row r="17" spans="1:11" x14ac:dyDescent="0.25">
      <c r="A17">
        <v>9</v>
      </c>
      <c r="B17">
        <v>3</v>
      </c>
      <c r="C17">
        <v>5.24</v>
      </c>
      <c r="D17">
        <f t="shared" si="0"/>
        <v>5.24</v>
      </c>
      <c r="E17">
        <v>29.09</v>
      </c>
      <c r="F17">
        <v>21.95</v>
      </c>
      <c r="G17">
        <v>0</v>
      </c>
      <c r="H17">
        <v>-1</v>
      </c>
      <c r="I17" s="3">
        <f t="shared" ref="I17:I31" si="4">(E17-$C$4)/$A$4</f>
        <v>0.29089999999999999</v>
      </c>
      <c r="J17" s="3">
        <f t="shared" ref="J17:J31" si="5">(F17-$D$4)/$B$4</f>
        <v>0.2195</v>
      </c>
      <c r="K17" s="3">
        <f t="shared" ref="K17:K31" si="6">C17/$A$4</f>
        <v>5.2400000000000002E-2</v>
      </c>
    </row>
    <row r="18" spans="1:11" x14ac:dyDescent="0.25">
      <c r="A18">
        <v>10</v>
      </c>
      <c r="B18">
        <v>4</v>
      </c>
      <c r="C18">
        <v>5.21</v>
      </c>
      <c r="D18">
        <f t="shared" si="0"/>
        <v>5.21</v>
      </c>
      <c r="E18">
        <v>40.020000000000003</v>
      </c>
      <c r="F18">
        <v>19.059999999999999</v>
      </c>
      <c r="G18">
        <v>0</v>
      </c>
      <c r="I18" s="3">
        <f t="shared" si="4"/>
        <v>0.40020000000000006</v>
      </c>
      <c r="J18" s="3">
        <f t="shared" si="5"/>
        <v>0.19059999999999999</v>
      </c>
      <c r="K18" s="3">
        <f t="shared" si="6"/>
        <v>5.21E-2</v>
      </c>
    </row>
    <row r="19" spans="1:11" x14ac:dyDescent="0.25">
      <c r="A19">
        <v>11</v>
      </c>
      <c r="B19">
        <v>2</v>
      </c>
      <c r="C19">
        <v>5.21</v>
      </c>
      <c r="D19">
        <f t="shared" si="0"/>
        <v>5.21</v>
      </c>
      <c r="E19">
        <v>26.49</v>
      </c>
      <c r="F19">
        <v>24.59</v>
      </c>
      <c r="G19">
        <v>0</v>
      </c>
      <c r="H19">
        <v>-1</v>
      </c>
      <c r="I19" s="3">
        <f t="shared" si="4"/>
        <v>0.26489999999999997</v>
      </c>
      <c r="J19" s="3">
        <f t="shared" si="5"/>
        <v>0.24590000000000001</v>
      </c>
      <c r="K19" s="3">
        <f t="shared" si="6"/>
        <v>5.21E-2</v>
      </c>
    </row>
    <row r="20" spans="1:11" x14ac:dyDescent="0.25">
      <c r="A20">
        <v>12</v>
      </c>
      <c r="B20">
        <v>1</v>
      </c>
      <c r="C20">
        <v>4.28</v>
      </c>
      <c r="D20">
        <f t="shared" si="0"/>
        <v>4.28</v>
      </c>
      <c r="E20">
        <v>32.659999999999997</v>
      </c>
      <c r="F20">
        <v>23.85</v>
      </c>
      <c r="G20">
        <v>0</v>
      </c>
      <c r="H20">
        <v>-1</v>
      </c>
      <c r="I20" s="3">
        <f t="shared" si="4"/>
        <v>0.32659999999999995</v>
      </c>
      <c r="J20" s="3">
        <f t="shared" si="5"/>
        <v>0.23850000000000002</v>
      </c>
      <c r="K20" s="3">
        <f t="shared" si="6"/>
        <v>4.2800000000000005E-2</v>
      </c>
    </row>
    <row r="21" spans="1:11" x14ac:dyDescent="0.25">
      <c r="A21">
        <v>13</v>
      </c>
      <c r="B21">
        <v>1</v>
      </c>
      <c r="C21">
        <v>4.28</v>
      </c>
      <c r="D21">
        <f t="shared" si="0"/>
        <v>4.28</v>
      </c>
      <c r="E21">
        <v>37.9</v>
      </c>
      <c r="F21">
        <v>22.75</v>
      </c>
      <c r="G21">
        <v>0</v>
      </c>
      <c r="H21">
        <v>-1</v>
      </c>
      <c r="I21" s="3">
        <f t="shared" si="4"/>
        <v>0.379</v>
      </c>
      <c r="J21" s="3">
        <f t="shared" si="5"/>
        <v>0.22750000000000001</v>
      </c>
      <c r="K21" s="3">
        <f t="shared" si="6"/>
        <v>4.2800000000000005E-2</v>
      </c>
    </row>
    <row r="22" spans="1:11" x14ac:dyDescent="0.25">
      <c r="A22">
        <v>14</v>
      </c>
      <c r="B22">
        <v>1</v>
      </c>
      <c r="C22">
        <v>4.28</v>
      </c>
      <c r="D22">
        <f t="shared" si="0"/>
        <v>4.28</v>
      </c>
      <c r="E22">
        <v>43.09</v>
      </c>
      <c r="F22">
        <v>22.75</v>
      </c>
      <c r="G22">
        <v>0</v>
      </c>
      <c r="I22" s="3">
        <f t="shared" si="4"/>
        <v>0.43090000000000006</v>
      </c>
      <c r="J22" s="3">
        <f t="shared" si="5"/>
        <v>0.22750000000000001</v>
      </c>
      <c r="K22" s="3">
        <f t="shared" si="6"/>
        <v>4.2800000000000005E-2</v>
      </c>
    </row>
    <row r="23" spans="1:11" x14ac:dyDescent="0.25">
      <c r="A23">
        <v>15</v>
      </c>
      <c r="B23">
        <v>4</v>
      </c>
      <c r="C23">
        <v>5.21</v>
      </c>
      <c r="D23">
        <f t="shared" si="0"/>
        <v>5.21</v>
      </c>
      <c r="E23">
        <v>36.020000000000003</v>
      </c>
      <c r="F23">
        <v>25.99</v>
      </c>
      <c r="G23">
        <v>0</v>
      </c>
      <c r="H23">
        <v>-1</v>
      </c>
      <c r="I23" s="3">
        <f t="shared" si="4"/>
        <v>0.36020000000000002</v>
      </c>
      <c r="J23" s="3">
        <f t="shared" si="5"/>
        <v>0.25989999999999996</v>
      </c>
      <c r="K23" s="3">
        <f t="shared" si="6"/>
        <v>5.21E-2</v>
      </c>
    </row>
    <row r="24" spans="1:11" x14ac:dyDescent="0.25">
      <c r="A24">
        <v>16</v>
      </c>
      <c r="B24">
        <v>1</v>
      </c>
      <c r="C24">
        <v>4.28</v>
      </c>
      <c r="D24">
        <f t="shared" si="0"/>
        <v>4.28</v>
      </c>
      <c r="E24">
        <v>1.66</v>
      </c>
      <c r="F24">
        <v>86.39</v>
      </c>
      <c r="G24">
        <v>0</v>
      </c>
      <c r="H24">
        <v>-1</v>
      </c>
      <c r="I24" s="3">
        <f t="shared" si="4"/>
        <v>1.66E-2</v>
      </c>
      <c r="J24" s="3">
        <f t="shared" si="5"/>
        <v>0.8639</v>
      </c>
      <c r="K24" s="3">
        <f t="shared" si="6"/>
        <v>4.2800000000000005E-2</v>
      </c>
    </row>
    <row r="25" spans="1:11" x14ac:dyDescent="0.25">
      <c r="A25">
        <v>17</v>
      </c>
      <c r="B25">
        <v>2</v>
      </c>
      <c r="C25">
        <v>5.21</v>
      </c>
      <c r="D25">
        <f t="shared" si="0"/>
        <v>5.21</v>
      </c>
      <c r="E25">
        <v>3.8</v>
      </c>
      <c r="F25">
        <v>83.78</v>
      </c>
      <c r="G25">
        <v>0</v>
      </c>
      <c r="I25" s="3">
        <f t="shared" si="4"/>
        <v>3.7999999999999999E-2</v>
      </c>
      <c r="J25" s="3">
        <f t="shared" si="5"/>
        <v>0.83779999999999999</v>
      </c>
      <c r="K25" s="3">
        <f t="shared" si="6"/>
        <v>5.21E-2</v>
      </c>
    </row>
    <row r="26" spans="1:11" x14ac:dyDescent="0.25">
      <c r="A26">
        <v>18</v>
      </c>
      <c r="B26">
        <v>2</v>
      </c>
      <c r="C26">
        <v>5.21</v>
      </c>
      <c r="D26">
        <f t="shared" si="0"/>
        <v>5.21</v>
      </c>
      <c r="E26">
        <v>6.41</v>
      </c>
      <c r="F26">
        <v>85.93</v>
      </c>
      <c r="G26">
        <v>0</v>
      </c>
      <c r="H26">
        <v>-1</v>
      </c>
      <c r="I26" s="3">
        <f t="shared" si="4"/>
        <v>6.4100000000000004E-2</v>
      </c>
      <c r="J26" s="3">
        <f t="shared" si="5"/>
        <v>0.85930000000000006</v>
      </c>
      <c r="K26" s="3">
        <f t="shared" si="6"/>
        <v>5.21E-2</v>
      </c>
    </row>
    <row r="27" spans="1:11" x14ac:dyDescent="0.25">
      <c r="A27">
        <v>19</v>
      </c>
      <c r="B27">
        <v>1</v>
      </c>
      <c r="C27">
        <v>4.28</v>
      </c>
      <c r="D27">
        <f t="shared" si="0"/>
        <v>4.28</v>
      </c>
      <c r="E27">
        <v>9.01</v>
      </c>
      <c r="F27">
        <v>84.71</v>
      </c>
      <c r="G27">
        <v>0</v>
      </c>
      <c r="I27" s="3">
        <f t="shared" si="4"/>
        <v>9.01E-2</v>
      </c>
      <c r="J27" s="3">
        <f t="shared" si="5"/>
        <v>0.84709999999999996</v>
      </c>
      <c r="K27" s="3">
        <f t="shared" si="6"/>
        <v>4.2800000000000005E-2</v>
      </c>
    </row>
    <row r="28" spans="1:11" x14ac:dyDescent="0.25">
      <c r="A28">
        <v>20</v>
      </c>
      <c r="B28">
        <v>4</v>
      </c>
      <c r="C28">
        <v>5.21</v>
      </c>
      <c r="D28">
        <f t="shared" si="0"/>
        <v>5.21</v>
      </c>
      <c r="E28">
        <v>13.75</v>
      </c>
      <c r="F28">
        <v>87.356999999999999</v>
      </c>
      <c r="G28">
        <v>0</v>
      </c>
      <c r="I28" s="3">
        <f t="shared" si="4"/>
        <v>0.13750000000000001</v>
      </c>
      <c r="J28" s="3">
        <f t="shared" si="5"/>
        <v>0.87356999999999996</v>
      </c>
      <c r="K28" s="3">
        <f t="shared" si="6"/>
        <v>5.21E-2</v>
      </c>
    </row>
    <row r="29" spans="1:11" x14ac:dyDescent="0.25">
      <c r="A29">
        <v>21</v>
      </c>
      <c r="B29">
        <v>3</v>
      </c>
      <c r="C29">
        <v>5.24</v>
      </c>
      <c r="D29">
        <f t="shared" si="0"/>
        <v>5.24</v>
      </c>
      <c r="E29">
        <v>9.9</v>
      </c>
      <c r="F29">
        <v>89.97</v>
      </c>
      <c r="G29">
        <v>0</v>
      </c>
      <c r="I29" s="3">
        <f t="shared" si="4"/>
        <v>9.9000000000000005E-2</v>
      </c>
      <c r="J29" s="3">
        <f t="shared" si="5"/>
        <v>0.89969999999999994</v>
      </c>
      <c r="K29" s="3">
        <f t="shared" si="6"/>
        <v>5.2400000000000002E-2</v>
      </c>
    </row>
    <row r="30" spans="1:11" x14ac:dyDescent="0.25">
      <c r="A30">
        <v>22</v>
      </c>
      <c r="B30">
        <v>3</v>
      </c>
      <c r="C30">
        <v>5.24</v>
      </c>
      <c r="D30">
        <f t="shared" si="0"/>
        <v>5.24</v>
      </c>
      <c r="E30">
        <v>13.75</v>
      </c>
      <c r="F30">
        <v>91.13</v>
      </c>
      <c r="G30">
        <v>0</v>
      </c>
      <c r="H30">
        <v>-1</v>
      </c>
      <c r="I30" s="3">
        <f t="shared" si="4"/>
        <v>0.13750000000000001</v>
      </c>
      <c r="J30" s="3">
        <f t="shared" si="5"/>
        <v>0.9113</v>
      </c>
      <c r="K30" s="3">
        <f t="shared" si="6"/>
        <v>5.2400000000000002E-2</v>
      </c>
    </row>
    <row r="31" spans="1:11" x14ac:dyDescent="0.25">
      <c r="A31">
        <v>23</v>
      </c>
      <c r="B31">
        <v>4</v>
      </c>
      <c r="C31">
        <v>5.21</v>
      </c>
      <c r="D31">
        <f t="shared" si="0"/>
        <v>5.21</v>
      </c>
      <c r="E31">
        <v>9.01</v>
      </c>
      <c r="F31">
        <v>93.77</v>
      </c>
      <c r="G31">
        <v>0</v>
      </c>
      <c r="H31">
        <v>-1</v>
      </c>
      <c r="I31" s="3">
        <f t="shared" si="4"/>
        <v>9.01E-2</v>
      </c>
      <c r="J31" s="3">
        <f t="shared" si="5"/>
        <v>0.93769999999999998</v>
      </c>
      <c r="K31" s="3">
        <f t="shared" si="6"/>
        <v>5.21E-2</v>
      </c>
    </row>
    <row r="32" spans="1:11" x14ac:dyDescent="0.25">
      <c r="I32" s="2"/>
      <c r="J32" s="2"/>
      <c r="K32" s="2"/>
    </row>
    <row r="34" spans="1:11" x14ac:dyDescent="0.25">
      <c r="A34" s="1" t="s">
        <v>1</v>
      </c>
    </row>
    <row r="35" spans="1:11" x14ac:dyDescent="0.25">
      <c r="A35" t="s">
        <v>13</v>
      </c>
      <c r="B35" t="s">
        <v>3</v>
      </c>
      <c r="C35" t="s">
        <v>5</v>
      </c>
      <c r="D35" t="s">
        <v>6</v>
      </c>
      <c r="E35" t="s">
        <v>8</v>
      </c>
      <c r="F35" t="s">
        <v>9</v>
      </c>
      <c r="G35" t="s">
        <v>7</v>
      </c>
      <c r="H35" t="s">
        <v>14</v>
      </c>
      <c r="I35" t="s">
        <v>10</v>
      </c>
      <c r="J35" t="s">
        <v>11</v>
      </c>
      <c r="K35" t="s">
        <v>12</v>
      </c>
    </row>
    <row r="36" spans="1:11" x14ac:dyDescent="0.25">
      <c r="A36">
        <v>1</v>
      </c>
      <c r="B36">
        <v>3</v>
      </c>
      <c r="C36">
        <v>9.7899999999999991</v>
      </c>
      <c r="D36">
        <f>C36</f>
        <v>9.7899999999999991</v>
      </c>
      <c r="E36">
        <v>35.130000000000003</v>
      </c>
      <c r="F36">
        <v>0</v>
      </c>
      <c r="G36">
        <v>-17.100000000000001</v>
      </c>
      <c r="H36">
        <v>-1</v>
      </c>
      <c r="I36" s="3">
        <f>(E36-$C$4)/$A$4</f>
        <v>0.3513</v>
      </c>
      <c r="J36" s="3">
        <f>(F36-$D$4)/$B$4</f>
        <v>0</v>
      </c>
      <c r="K36" s="3">
        <f>C36/$A$4</f>
        <v>9.7899999999999987E-2</v>
      </c>
    </row>
    <row r="37" spans="1:11" x14ac:dyDescent="0.25">
      <c r="A37">
        <v>2</v>
      </c>
      <c r="B37">
        <v>3</v>
      </c>
      <c r="C37">
        <v>9.7899999999999991</v>
      </c>
      <c r="D37">
        <f t="shared" ref="D37:D43" si="7">C37</f>
        <v>9.7899999999999991</v>
      </c>
      <c r="E37">
        <v>41.23</v>
      </c>
      <c r="F37">
        <v>3.25</v>
      </c>
      <c r="G37">
        <v>0</v>
      </c>
      <c r="I37" s="3">
        <f>(E37-$C$4)/$A$4</f>
        <v>0.41229999999999994</v>
      </c>
      <c r="J37" s="3">
        <f>(F37-$D$4)/$B$4</f>
        <v>3.2500000000000001E-2</v>
      </c>
      <c r="K37" s="3">
        <f>C37/$A$4</f>
        <v>9.7899999999999987E-2</v>
      </c>
    </row>
    <row r="38" spans="1:11" x14ac:dyDescent="0.25">
      <c r="A38">
        <v>3</v>
      </c>
      <c r="B38">
        <v>4</v>
      </c>
      <c r="C38">
        <v>8.8000000000000007</v>
      </c>
      <c r="D38">
        <f t="shared" si="7"/>
        <v>8.8000000000000007</v>
      </c>
      <c r="E38">
        <v>46.44</v>
      </c>
      <c r="F38">
        <v>7.33</v>
      </c>
      <c r="G38">
        <v>-17.100000000000001</v>
      </c>
      <c r="H38">
        <v>-1</v>
      </c>
      <c r="I38" s="3">
        <f>(E38-$C$4)/$A$4</f>
        <v>0.46439999999999998</v>
      </c>
      <c r="J38" s="3">
        <f>(F38-$D$4)/$B$4</f>
        <v>7.3300000000000004E-2</v>
      </c>
      <c r="K38" s="3">
        <f>C38/$A$4</f>
        <v>8.8000000000000009E-2</v>
      </c>
    </row>
    <row r="39" spans="1:11" x14ac:dyDescent="0.25">
      <c r="A39">
        <v>4</v>
      </c>
      <c r="B39">
        <v>2</v>
      </c>
      <c r="C39">
        <v>9.25</v>
      </c>
      <c r="D39">
        <f t="shared" si="7"/>
        <v>9.25</v>
      </c>
      <c r="E39">
        <v>28.67</v>
      </c>
      <c r="F39">
        <v>68.52</v>
      </c>
      <c r="G39">
        <v>0</v>
      </c>
      <c r="I39" s="3">
        <f>(E39-$C$4)/$A$4</f>
        <v>0.28670000000000001</v>
      </c>
      <c r="J39" s="3">
        <f>(F39-$D$4)/$B$4</f>
        <v>0.68519999999999992</v>
      </c>
      <c r="K39" s="3">
        <f>C39/$A$4</f>
        <v>9.2499999999999999E-2</v>
      </c>
    </row>
    <row r="40" spans="1:11" x14ac:dyDescent="0.25">
      <c r="A40">
        <v>5</v>
      </c>
      <c r="B40">
        <v>4</v>
      </c>
      <c r="C40">
        <v>8.8000000000000007</v>
      </c>
      <c r="D40">
        <f t="shared" si="7"/>
        <v>8.8000000000000007</v>
      </c>
      <c r="E40">
        <v>33.090000000000003</v>
      </c>
      <c r="F40">
        <v>74.319999999999993</v>
      </c>
      <c r="G40">
        <v>0</v>
      </c>
      <c r="I40" s="3">
        <f>(E40-$C$4)/$A$4</f>
        <v>0.33090000000000003</v>
      </c>
      <c r="J40" s="3">
        <f>(F40-$D$4)/$B$4</f>
        <v>0.74319999999999997</v>
      </c>
      <c r="K40" s="3">
        <f>C40/$A$4</f>
        <v>8.8000000000000009E-2</v>
      </c>
    </row>
    <row r="41" spans="1:11" x14ac:dyDescent="0.25">
      <c r="A41">
        <v>6</v>
      </c>
      <c r="B41">
        <v>1</v>
      </c>
      <c r="C41">
        <v>8.57</v>
      </c>
      <c r="D41">
        <f t="shared" si="7"/>
        <v>8.57</v>
      </c>
      <c r="E41">
        <v>26.11</v>
      </c>
      <c r="F41">
        <v>77.77</v>
      </c>
      <c r="G41">
        <v>-17.100000000000001</v>
      </c>
      <c r="H41">
        <v>-1</v>
      </c>
      <c r="I41" s="3">
        <f>(E41-$C$4)/$A$4</f>
        <v>0.2611</v>
      </c>
      <c r="J41" s="3">
        <f>(F41-$D$4)/$B$4</f>
        <v>0.77769999999999995</v>
      </c>
      <c r="K41" s="3">
        <f>C41/$A$4</f>
        <v>8.5699999999999998E-2</v>
      </c>
    </row>
    <row r="42" spans="1:11" x14ac:dyDescent="0.25">
      <c r="A42">
        <v>7</v>
      </c>
      <c r="B42">
        <v>2</v>
      </c>
      <c r="C42">
        <v>9.25</v>
      </c>
      <c r="D42">
        <f t="shared" si="7"/>
        <v>9.25</v>
      </c>
      <c r="E42">
        <v>19.899999999999999</v>
      </c>
      <c r="F42">
        <v>81.599999999999994</v>
      </c>
      <c r="G42">
        <v>-17.100000000000001</v>
      </c>
      <c r="H42">
        <v>-1</v>
      </c>
      <c r="I42" s="3">
        <f>(E42-$C$4)/$A$4</f>
        <v>0.19899999999999998</v>
      </c>
      <c r="J42" s="3">
        <f>(F42-$D$4)/$B$4</f>
        <v>0.81599999999999995</v>
      </c>
      <c r="K42" s="3">
        <f>C42/$A$4</f>
        <v>9.2499999999999999E-2</v>
      </c>
    </row>
    <row r="43" spans="1:11" x14ac:dyDescent="0.25">
      <c r="A43">
        <v>8</v>
      </c>
      <c r="B43">
        <v>1</v>
      </c>
      <c r="C43">
        <v>8.57</v>
      </c>
      <c r="D43">
        <f t="shared" si="7"/>
        <v>8.57</v>
      </c>
      <c r="E43">
        <v>27.21</v>
      </c>
      <c r="F43">
        <v>86.24</v>
      </c>
      <c r="G43">
        <v>0</v>
      </c>
      <c r="I43" s="3">
        <f>(E43-$C$4)/$A$4</f>
        <v>0.27210000000000001</v>
      </c>
      <c r="J43" s="3">
        <f>(F43-$D$4)/$B$4</f>
        <v>0.86239999999999994</v>
      </c>
      <c r="K43" s="3">
        <f>C43/$A$4</f>
        <v>8.5699999999999998E-2</v>
      </c>
    </row>
    <row r="44" spans="1:11" x14ac:dyDescent="0.25">
      <c r="I44" s="3"/>
      <c r="J44" s="3"/>
      <c r="K44" s="3"/>
    </row>
    <row r="45" spans="1:11" x14ac:dyDescent="0.25">
      <c r="I45" s="3"/>
      <c r="J45" s="3"/>
      <c r="K45" s="3"/>
    </row>
    <row r="46" spans="1:11" x14ac:dyDescent="0.25">
      <c r="A46" s="1" t="s">
        <v>2</v>
      </c>
    </row>
    <row r="47" spans="1:11" x14ac:dyDescent="0.25">
      <c r="A47" t="s">
        <v>13</v>
      </c>
      <c r="B47" t="s">
        <v>3</v>
      </c>
      <c r="C47" t="s">
        <v>5</v>
      </c>
      <c r="D47" t="s">
        <v>6</v>
      </c>
      <c r="E47" t="s">
        <v>8</v>
      </c>
      <c r="F47" t="s">
        <v>9</v>
      </c>
      <c r="G47" t="s">
        <v>7</v>
      </c>
      <c r="H47" t="s">
        <v>14</v>
      </c>
      <c r="I47" t="s">
        <v>10</v>
      </c>
      <c r="J47" t="s">
        <v>11</v>
      </c>
      <c r="K47" t="s">
        <v>12</v>
      </c>
    </row>
    <row r="48" spans="1:11" x14ac:dyDescent="0.25">
      <c r="A48">
        <v>1</v>
      </c>
      <c r="B48">
        <v>4</v>
      </c>
      <c r="C48">
        <v>13.92</v>
      </c>
      <c r="D48">
        <f>C48</f>
        <v>13.92</v>
      </c>
      <c r="E48">
        <v>51.02</v>
      </c>
      <c r="F48">
        <v>38.69</v>
      </c>
      <c r="G48">
        <v>0</v>
      </c>
      <c r="I48" s="3">
        <f>(E48-$C$4)/$A$4</f>
        <v>0.51019999999999999</v>
      </c>
      <c r="J48" s="3">
        <f>(F48-$D$4)/$B$4</f>
        <v>0.38689999999999997</v>
      </c>
      <c r="K48" s="3">
        <f>C48/$A$4</f>
        <v>0.13919999999999999</v>
      </c>
    </row>
    <row r="49" spans="9:11" x14ac:dyDescent="0.25">
      <c r="I49" s="3"/>
      <c r="J49" s="3"/>
      <c r="K49" s="3"/>
    </row>
    <row r="50" spans="9:11" x14ac:dyDescent="0.25">
      <c r="I50" s="3"/>
      <c r="J50" s="3"/>
      <c r="K50" s="3"/>
    </row>
    <row r="51" spans="9:11" x14ac:dyDescent="0.25">
      <c r="I51" s="3"/>
      <c r="J51" s="3"/>
      <c r="K51" s="3"/>
    </row>
    <row r="52" spans="9:11" x14ac:dyDescent="0.25">
      <c r="I52" s="3"/>
      <c r="J52" s="3"/>
      <c r="K52" s="3"/>
    </row>
    <row r="53" spans="9:11" x14ac:dyDescent="0.25">
      <c r="I53" s="3"/>
      <c r="J53" s="3"/>
      <c r="K53" s="3"/>
    </row>
    <row r="54" spans="9:11" x14ac:dyDescent="0.25">
      <c r="I54" s="3"/>
      <c r="J54" s="3"/>
      <c r="K54" s="3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52F4-FC28-4B79-A6D2-5E5C4D6B1F3A}">
  <dimension ref="A1:K44"/>
  <sheetViews>
    <sheetView tabSelected="1" workbookViewId="0">
      <selection activeCell="D36" sqref="D36"/>
    </sheetView>
  </sheetViews>
  <sheetFormatPr defaultColWidth="15" defaultRowHeight="15" x14ac:dyDescent="0.25"/>
  <sheetData>
    <row r="1" spans="1:11" x14ac:dyDescent="0.25">
      <c r="A1" s="1" t="s">
        <v>19</v>
      </c>
    </row>
    <row r="2" spans="1:11" x14ac:dyDescent="0.25">
      <c r="A2" s="1" t="s">
        <v>4</v>
      </c>
    </row>
    <row r="3" spans="1:11" x14ac:dyDescent="0.25">
      <c r="A3" t="s">
        <v>5</v>
      </c>
      <c r="B3" t="s">
        <v>6</v>
      </c>
      <c r="C3" t="s">
        <v>8</v>
      </c>
      <c r="D3" t="s">
        <v>9</v>
      </c>
      <c r="E3" t="s">
        <v>7</v>
      </c>
    </row>
    <row r="4" spans="1:11" x14ac:dyDescent="0.25">
      <c r="A4">
        <v>100</v>
      </c>
      <c r="B4">
        <v>100</v>
      </c>
      <c r="C4">
        <v>0</v>
      </c>
      <c r="D4">
        <v>0</v>
      </c>
      <c r="E4">
        <v>0</v>
      </c>
    </row>
    <row r="7" spans="1:11" x14ac:dyDescent="0.25">
      <c r="A7" s="1" t="s">
        <v>0</v>
      </c>
    </row>
    <row r="8" spans="1:11" x14ac:dyDescent="0.25">
      <c r="A8" t="s">
        <v>13</v>
      </c>
      <c r="B8" t="s">
        <v>3</v>
      </c>
      <c r="C8" t="s">
        <v>5</v>
      </c>
      <c r="D8" t="s">
        <v>6</v>
      </c>
      <c r="E8" t="s">
        <v>8</v>
      </c>
      <c r="F8" t="s">
        <v>9</v>
      </c>
      <c r="G8" t="s">
        <v>7</v>
      </c>
      <c r="H8" t="s">
        <v>14</v>
      </c>
      <c r="I8" t="s">
        <v>10</v>
      </c>
      <c r="J8" t="s">
        <v>11</v>
      </c>
      <c r="K8" t="s">
        <v>12</v>
      </c>
    </row>
    <row r="9" spans="1:11" x14ac:dyDescent="0.25">
      <c r="A9">
        <v>1</v>
      </c>
      <c r="B9">
        <v>2</v>
      </c>
      <c r="C9">
        <v>5.19</v>
      </c>
      <c r="D9">
        <f t="shared" ref="D9:D21" si="0">C9</f>
        <v>5.19</v>
      </c>
      <c r="E9">
        <v>72.709999999999994</v>
      </c>
      <c r="F9">
        <v>40.24</v>
      </c>
      <c r="G9">
        <v>0</v>
      </c>
      <c r="H9">
        <v>-1</v>
      </c>
      <c r="I9" s="3">
        <f>(E9-$C$4)/$A$4</f>
        <v>0.72709999999999997</v>
      </c>
      <c r="J9" s="3">
        <f>(F9-$D$4)/$B$4</f>
        <v>0.40240000000000004</v>
      </c>
      <c r="K9" s="3">
        <f>C9/$A$4</f>
        <v>5.1900000000000002E-2</v>
      </c>
    </row>
    <row r="10" spans="1:11" x14ac:dyDescent="0.25">
      <c r="A10">
        <v>2</v>
      </c>
      <c r="B10">
        <v>4</v>
      </c>
      <c r="C10">
        <v>5.19</v>
      </c>
      <c r="D10">
        <f t="shared" si="0"/>
        <v>5.19</v>
      </c>
      <c r="E10">
        <v>79.819999999999993</v>
      </c>
      <c r="F10">
        <v>41.4</v>
      </c>
      <c r="G10">
        <v>0</v>
      </c>
      <c r="I10" s="3">
        <f>(E10-$C$4)/$A$4</f>
        <v>0.79819999999999991</v>
      </c>
      <c r="J10" s="3">
        <f>(F10-$D$4)/$B$4</f>
        <v>0.41399999999999998</v>
      </c>
      <c r="K10" s="3">
        <f>C10/$A$4</f>
        <v>5.1900000000000002E-2</v>
      </c>
    </row>
    <row r="11" spans="1:11" x14ac:dyDescent="0.25">
      <c r="A11">
        <v>3</v>
      </c>
      <c r="B11">
        <v>1</v>
      </c>
      <c r="C11">
        <v>4.2699999999999996</v>
      </c>
      <c r="D11">
        <f t="shared" si="0"/>
        <v>4.2699999999999996</v>
      </c>
      <c r="E11">
        <v>76.08</v>
      </c>
      <c r="F11">
        <v>42.32</v>
      </c>
      <c r="G11">
        <v>0</v>
      </c>
      <c r="I11" s="3">
        <f>(E11-$C$4)/$A$4</f>
        <v>0.76080000000000003</v>
      </c>
      <c r="J11" s="3">
        <f>(F11-$D$4)/$B$4</f>
        <v>0.42320000000000002</v>
      </c>
      <c r="K11" s="3">
        <f>C11/$A$4</f>
        <v>4.2699999999999995E-2</v>
      </c>
    </row>
    <row r="12" spans="1:11" x14ac:dyDescent="0.25">
      <c r="A12">
        <v>4</v>
      </c>
      <c r="B12">
        <v>1</v>
      </c>
      <c r="C12">
        <v>4.2699999999999996</v>
      </c>
      <c r="D12">
        <f t="shared" si="0"/>
        <v>4.2699999999999996</v>
      </c>
      <c r="E12">
        <v>73.239999999999995</v>
      </c>
      <c r="F12">
        <v>45.43</v>
      </c>
      <c r="G12">
        <v>0</v>
      </c>
      <c r="H12">
        <v>-1</v>
      </c>
      <c r="I12" s="3">
        <f>(E12-$C$4)/$A$4</f>
        <v>0.73239999999999994</v>
      </c>
      <c r="J12" s="3">
        <f>(F12-$D$4)/$B$4</f>
        <v>0.45429999999999998</v>
      </c>
      <c r="K12" s="3">
        <f>C12/$A$4</f>
        <v>4.2699999999999995E-2</v>
      </c>
    </row>
    <row r="13" spans="1:11" x14ac:dyDescent="0.25">
      <c r="A13">
        <v>5</v>
      </c>
      <c r="B13">
        <v>4</v>
      </c>
      <c r="C13">
        <v>5.19</v>
      </c>
      <c r="D13">
        <f t="shared" si="0"/>
        <v>5.19</v>
      </c>
      <c r="E13">
        <v>78.209999999999994</v>
      </c>
      <c r="F13">
        <v>45</v>
      </c>
      <c r="G13">
        <v>0</v>
      </c>
      <c r="I13" s="3">
        <f t="shared" ref="I13:I21" si="1">(E13-$C$4)/$A$4</f>
        <v>0.78209999999999991</v>
      </c>
      <c r="J13" s="3">
        <f t="shared" ref="J13:J21" si="2">(F13-$D$4)/$B$4</f>
        <v>0.45</v>
      </c>
      <c r="K13" s="3">
        <f t="shared" ref="K13:K21" si="3">C13/$A$4</f>
        <v>5.1900000000000002E-2</v>
      </c>
    </row>
    <row r="14" spans="1:11" x14ac:dyDescent="0.25">
      <c r="A14">
        <v>6</v>
      </c>
      <c r="B14">
        <v>3</v>
      </c>
      <c r="C14">
        <v>5.23</v>
      </c>
      <c r="D14">
        <f t="shared" si="0"/>
        <v>5.23</v>
      </c>
      <c r="E14">
        <v>70.63</v>
      </c>
      <c r="F14">
        <v>47.09</v>
      </c>
      <c r="G14">
        <v>0</v>
      </c>
      <c r="H14">
        <v>-1</v>
      </c>
      <c r="I14" s="3">
        <f t="shared" si="1"/>
        <v>0.70629999999999993</v>
      </c>
      <c r="J14" s="3">
        <f t="shared" si="2"/>
        <v>0.47090000000000004</v>
      </c>
      <c r="K14" s="3">
        <f t="shared" si="3"/>
        <v>5.2300000000000006E-2</v>
      </c>
    </row>
    <row r="15" spans="1:11" x14ac:dyDescent="0.25">
      <c r="A15">
        <v>7</v>
      </c>
      <c r="B15">
        <v>3</v>
      </c>
      <c r="C15">
        <v>5.23</v>
      </c>
      <c r="D15">
        <f t="shared" si="0"/>
        <v>5.23</v>
      </c>
      <c r="E15">
        <v>67.489999999999995</v>
      </c>
      <c r="F15">
        <v>49.13</v>
      </c>
      <c r="G15">
        <v>0</v>
      </c>
      <c r="I15" s="3">
        <f t="shared" si="1"/>
        <v>0.67489999999999994</v>
      </c>
      <c r="J15" s="3">
        <f t="shared" si="2"/>
        <v>0.49130000000000001</v>
      </c>
      <c r="K15" s="3">
        <f t="shared" si="3"/>
        <v>5.2300000000000006E-2</v>
      </c>
    </row>
    <row r="16" spans="1:11" x14ac:dyDescent="0.25">
      <c r="A16">
        <v>8</v>
      </c>
      <c r="B16">
        <v>2</v>
      </c>
      <c r="C16">
        <v>5.19</v>
      </c>
      <c r="D16">
        <f t="shared" si="0"/>
        <v>5.19</v>
      </c>
      <c r="E16">
        <v>77.75</v>
      </c>
      <c r="F16">
        <v>49.72</v>
      </c>
      <c r="G16">
        <v>0</v>
      </c>
      <c r="I16" s="3">
        <f t="shared" si="1"/>
        <v>0.77749999999999997</v>
      </c>
      <c r="J16" s="3">
        <f t="shared" si="2"/>
        <v>0.49719999999999998</v>
      </c>
      <c r="K16" s="3">
        <f t="shared" si="3"/>
        <v>5.1900000000000002E-2</v>
      </c>
    </row>
    <row r="17" spans="1:11" x14ac:dyDescent="0.25">
      <c r="A17">
        <v>9</v>
      </c>
      <c r="B17">
        <v>2</v>
      </c>
      <c r="C17">
        <v>5.19</v>
      </c>
      <c r="D17">
        <f t="shared" si="0"/>
        <v>5.19</v>
      </c>
      <c r="E17">
        <v>89.61</v>
      </c>
      <c r="F17">
        <v>50.2</v>
      </c>
      <c r="G17">
        <v>0</v>
      </c>
      <c r="I17" s="3">
        <f t="shared" si="1"/>
        <v>0.89610000000000001</v>
      </c>
      <c r="J17" s="3">
        <f t="shared" si="2"/>
        <v>0.502</v>
      </c>
      <c r="K17" s="3">
        <f t="shared" si="3"/>
        <v>5.1900000000000002E-2</v>
      </c>
    </row>
    <row r="18" spans="1:11" x14ac:dyDescent="0.25">
      <c r="A18">
        <v>10</v>
      </c>
      <c r="B18">
        <v>4</v>
      </c>
      <c r="C18">
        <v>5.19</v>
      </c>
      <c r="D18">
        <f t="shared" si="0"/>
        <v>5.19</v>
      </c>
      <c r="E18">
        <v>94.81</v>
      </c>
      <c r="F18">
        <v>45.43</v>
      </c>
      <c r="G18">
        <v>0</v>
      </c>
      <c r="I18" s="3">
        <f t="shared" si="1"/>
        <v>0.94810000000000005</v>
      </c>
      <c r="J18" s="3">
        <f t="shared" si="2"/>
        <v>0.45429999999999998</v>
      </c>
      <c r="K18" s="3">
        <f t="shared" si="3"/>
        <v>5.1900000000000002E-2</v>
      </c>
    </row>
    <row r="19" spans="1:11" x14ac:dyDescent="0.25">
      <c r="A19">
        <v>11</v>
      </c>
      <c r="B19">
        <v>4</v>
      </c>
      <c r="C19">
        <v>5.19</v>
      </c>
      <c r="D19">
        <f t="shared" si="0"/>
        <v>5.19</v>
      </c>
      <c r="E19">
        <v>68.81</v>
      </c>
      <c r="F19">
        <v>72.63</v>
      </c>
      <c r="G19">
        <v>0</v>
      </c>
      <c r="H19">
        <v>-1</v>
      </c>
      <c r="I19" s="3">
        <f t="shared" si="1"/>
        <v>0.68810000000000004</v>
      </c>
      <c r="J19" s="3">
        <f t="shared" si="2"/>
        <v>0.72629999999999995</v>
      </c>
      <c r="K19" s="3">
        <f t="shared" si="3"/>
        <v>5.1900000000000002E-2</v>
      </c>
    </row>
    <row r="20" spans="1:11" x14ac:dyDescent="0.25">
      <c r="A20">
        <v>12</v>
      </c>
      <c r="B20">
        <v>3</v>
      </c>
      <c r="C20">
        <v>5.23</v>
      </c>
      <c r="D20">
        <f t="shared" si="0"/>
        <v>5.23</v>
      </c>
      <c r="E20">
        <v>64.87</v>
      </c>
      <c r="F20">
        <v>74.900000000000006</v>
      </c>
      <c r="G20">
        <v>0</v>
      </c>
      <c r="I20" s="3">
        <f t="shared" si="1"/>
        <v>0.64870000000000005</v>
      </c>
      <c r="J20" s="3">
        <f t="shared" si="2"/>
        <v>0.74900000000000011</v>
      </c>
      <c r="K20" s="3">
        <f t="shared" si="3"/>
        <v>5.2300000000000006E-2</v>
      </c>
    </row>
    <row r="21" spans="1:11" x14ac:dyDescent="0.25">
      <c r="A21">
        <v>13</v>
      </c>
      <c r="B21">
        <v>1</v>
      </c>
      <c r="C21">
        <v>4.2699999999999996</v>
      </c>
      <c r="D21">
        <f t="shared" si="0"/>
        <v>4.2699999999999996</v>
      </c>
      <c r="E21">
        <v>71.87</v>
      </c>
      <c r="F21">
        <v>76.36</v>
      </c>
      <c r="G21">
        <v>0</v>
      </c>
      <c r="I21" s="3">
        <f t="shared" si="1"/>
        <v>0.71870000000000001</v>
      </c>
      <c r="J21" s="3">
        <f t="shared" si="2"/>
        <v>0.76359999999999995</v>
      </c>
      <c r="K21" s="3">
        <f t="shared" si="3"/>
        <v>4.2699999999999995E-2</v>
      </c>
    </row>
    <row r="22" spans="1:11" x14ac:dyDescent="0.25">
      <c r="I22" s="2"/>
      <c r="J22" s="2"/>
      <c r="K22" s="2"/>
    </row>
    <row r="24" spans="1:11" x14ac:dyDescent="0.25">
      <c r="A24" s="1" t="s">
        <v>1</v>
      </c>
    </row>
    <row r="25" spans="1:11" x14ac:dyDescent="0.25">
      <c r="A25" t="s">
        <v>13</v>
      </c>
      <c r="B25" t="s">
        <v>3</v>
      </c>
      <c r="C25" t="s">
        <v>5</v>
      </c>
      <c r="D25" t="s">
        <v>6</v>
      </c>
      <c r="E25" t="s">
        <v>8</v>
      </c>
      <c r="F25" t="s">
        <v>9</v>
      </c>
      <c r="G25" t="s">
        <v>7</v>
      </c>
      <c r="H25" t="s">
        <v>14</v>
      </c>
      <c r="I25" t="s">
        <v>10</v>
      </c>
      <c r="J25" t="s">
        <v>11</v>
      </c>
      <c r="K25" t="s">
        <v>12</v>
      </c>
    </row>
    <row r="26" spans="1:11" x14ac:dyDescent="0.25">
      <c r="A26">
        <v>1</v>
      </c>
      <c r="B26">
        <v>3</v>
      </c>
      <c r="C26">
        <v>9.77</v>
      </c>
      <c r="D26">
        <f>C26</f>
        <v>9.77</v>
      </c>
      <c r="E26">
        <v>25.8</v>
      </c>
      <c r="F26">
        <v>0.71</v>
      </c>
      <c r="G26">
        <v>0</v>
      </c>
      <c r="I26" s="3">
        <f>(E26-$C$4)/$A$4</f>
        <v>0.25800000000000001</v>
      </c>
      <c r="J26" s="3">
        <f>(F26-$D$4)/$B$4</f>
        <v>7.0999999999999995E-3</v>
      </c>
      <c r="K26" s="3">
        <f>C26/$A$4</f>
        <v>9.7699999999999995E-2</v>
      </c>
    </row>
    <row r="27" spans="1:11" x14ac:dyDescent="0.25">
      <c r="A27">
        <v>2</v>
      </c>
      <c r="B27">
        <v>1</v>
      </c>
      <c r="C27">
        <v>8.5500000000000007</v>
      </c>
      <c r="D27">
        <f t="shared" ref="D27:D31" si="4">C27</f>
        <v>8.5500000000000007</v>
      </c>
      <c r="E27">
        <v>35.57</v>
      </c>
      <c r="F27">
        <v>3</v>
      </c>
      <c r="G27">
        <v>0</v>
      </c>
      <c r="I27" s="3">
        <f>(E27-$C$4)/$A$4</f>
        <v>0.35570000000000002</v>
      </c>
      <c r="J27" s="3">
        <f>(F27-$D$4)/$B$4</f>
        <v>0.03</v>
      </c>
      <c r="K27" s="3">
        <f>C27/$A$4</f>
        <v>8.5500000000000007E-2</v>
      </c>
    </row>
    <row r="28" spans="1:11" x14ac:dyDescent="0.25">
      <c r="A28">
        <v>3</v>
      </c>
      <c r="B28">
        <v>1</v>
      </c>
      <c r="C28">
        <v>8.5500000000000007</v>
      </c>
      <c r="D28">
        <f t="shared" si="4"/>
        <v>8.5500000000000007</v>
      </c>
      <c r="E28">
        <v>40.97</v>
      </c>
      <c r="F28">
        <v>0.25</v>
      </c>
      <c r="G28">
        <v>-17.100000000000001</v>
      </c>
      <c r="I28" s="3">
        <f>(E28-$C$4)/$A$4</f>
        <v>0.40970000000000001</v>
      </c>
      <c r="J28" s="3">
        <f>(F28-$D$4)/$B$4</f>
        <v>2.5000000000000001E-3</v>
      </c>
      <c r="K28" s="3">
        <f>C28/$A$4</f>
        <v>8.5500000000000007E-2</v>
      </c>
    </row>
    <row r="29" spans="1:11" x14ac:dyDescent="0.25">
      <c r="A29">
        <v>4</v>
      </c>
      <c r="B29">
        <v>2</v>
      </c>
      <c r="C29">
        <v>9.23</v>
      </c>
      <c r="D29">
        <f t="shared" si="4"/>
        <v>9.23</v>
      </c>
      <c r="E29">
        <v>39.590000000000003</v>
      </c>
      <c r="F29">
        <v>14.29</v>
      </c>
      <c r="G29">
        <v>21.8</v>
      </c>
      <c r="I29" s="3">
        <f>(E29-$C$4)/$A$4</f>
        <v>0.39590000000000003</v>
      </c>
      <c r="J29" s="3">
        <f>(F29-$D$4)/$B$4</f>
        <v>0.1429</v>
      </c>
      <c r="K29" s="3">
        <f>C29/$A$4</f>
        <v>9.2300000000000007E-2</v>
      </c>
    </row>
    <row r="30" spans="1:11" x14ac:dyDescent="0.25">
      <c r="A30">
        <v>5</v>
      </c>
      <c r="B30">
        <v>2</v>
      </c>
      <c r="C30">
        <v>9.23</v>
      </c>
      <c r="D30">
        <f t="shared" si="4"/>
        <v>9.23</v>
      </c>
      <c r="E30">
        <v>88.18</v>
      </c>
      <c r="F30">
        <v>24.01</v>
      </c>
      <c r="G30">
        <v>0</v>
      </c>
      <c r="I30" s="3">
        <f>(E30-$C$4)/$A$4</f>
        <v>0.88180000000000003</v>
      </c>
      <c r="J30" s="3">
        <f>(F30-$D$4)/$B$4</f>
        <v>0.24010000000000001</v>
      </c>
      <c r="K30" s="3">
        <f>C30/$A$4</f>
        <v>9.2300000000000007E-2</v>
      </c>
    </row>
    <row r="31" spans="1:11" x14ac:dyDescent="0.25">
      <c r="A31">
        <v>6</v>
      </c>
      <c r="B31">
        <v>4</v>
      </c>
      <c r="C31">
        <v>8.7799999999999994</v>
      </c>
      <c r="D31">
        <f t="shared" si="4"/>
        <v>8.7799999999999994</v>
      </c>
      <c r="E31">
        <v>90.42</v>
      </c>
      <c r="F31">
        <v>35.85</v>
      </c>
      <c r="G31">
        <v>0</v>
      </c>
      <c r="I31" s="3">
        <f>(E31-$C$4)/$A$4</f>
        <v>0.9042</v>
      </c>
      <c r="J31" s="3">
        <f>(F31-$D$4)/$B$4</f>
        <v>0.35850000000000004</v>
      </c>
      <c r="K31" s="3">
        <f>C31/$A$4</f>
        <v>8.7799999999999989E-2</v>
      </c>
    </row>
    <row r="32" spans="1:11" x14ac:dyDescent="0.25">
      <c r="I32" s="3"/>
      <c r="J32" s="3"/>
      <c r="K32" s="3"/>
    </row>
    <row r="33" spans="1:11" x14ac:dyDescent="0.25">
      <c r="I33" s="3"/>
      <c r="J33" s="3"/>
      <c r="K33" s="3"/>
    </row>
    <row r="34" spans="1:11" x14ac:dyDescent="0.25">
      <c r="I34" s="3"/>
      <c r="J34" s="3"/>
      <c r="K34" s="3"/>
    </row>
    <row r="35" spans="1:11" x14ac:dyDescent="0.25">
      <c r="I35" s="3"/>
      <c r="J35" s="3"/>
      <c r="K35" s="3"/>
    </row>
    <row r="36" spans="1:11" x14ac:dyDescent="0.25">
      <c r="A36" s="1"/>
    </row>
    <row r="38" spans="1:11" x14ac:dyDescent="0.25">
      <c r="I38" s="3"/>
      <c r="J38" s="3"/>
      <c r="K38" s="3"/>
    </row>
    <row r="39" spans="1:11" x14ac:dyDescent="0.25">
      <c r="I39" s="3"/>
      <c r="J39" s="3"/>
      <c r="K39" s="3"/>
    </row>
    <row r="40" spans="1:11" x14ac:dyDescent="0.25">
      <c r="I40" s="3"/>
      <c r="J40" s="3"/>
      <c r="K40" s="3"/>
    </row>
    <row r="41" spans="1:11" x14ac:dyDescent="0.25">
      <c r="I41" s="3"/>
      <c r="J41" s="3"/>
      <c r="K41" s="3"/>
    </row>
    <row r="42" spans="1:11" x14ac:dyDescent="0.25">
      <c r="I42" s="3"/>
      <c r="J42" s="3"/>
      <c r="K42" s="3"/>
    </row>
    <row r="43" spans="1:11" x14ac:dyDescent="0.25">
      <c r="I43" s="3"/>
      <c r="J43" s="3"/>
      <c r="K43" s="3"/>
    </row>
    <row r="44" spans="1:11" x14ac:dyDescent="0.25">
      <c r="I44" s="3"/>
      <c r="J44" s="3"/>
      <c r="K44" s="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Quadrat 1</vt:lpstr>
      <vt:lpstr>Quadrat 2</vt:lpstr>
      <vt:lpstr>Quadrat 3</vt:lpstr>
      <vt:lpstr>Quadrat 4</vt:lpstr>
      <vt:lpstr>Quadrat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Muljadi</dc:creator>
  <cp:lastModifiedBy>Michael Muljadi</cp:lastModifiedBy>
  <dcterms:created xsi:type="dcterms:W3CDTF">2026-09-15T23:48:51Z</dcterms:created>
  <dcterms:modified xsi:type="dcterms:W3CDTF">2026-09-16T04:19:26Z</dcterms:modified>
</cp:coreProperties>
</file>